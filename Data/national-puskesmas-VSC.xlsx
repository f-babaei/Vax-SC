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c1fb\Models\Vax SC\Data\"/>
    </mc:Choice>
  </mc:AlternateContent>
  <xr:revisionPtr revIDLastSave="0" documentId="13_ncr:1_{E45BB7B3-DF0C-44EB-9031-953C85E874D8}" xr6:coauthVersionLast="47" xr6:coauthVersionMax="47" xr10:uidLastSave="{00000000-0000-0000-0000-000000000000}"/>
  <bookViews>
    <workbookView xWindow="-120" yWindow="-120" windowWidth="29040" windowHeight="15225" activeTab="1" xr2:uid="{FA23C16F-3C1C-4E68-AD36-4215747A6BE9}"/>
  </bookViews>
  <sheets>
    <sheet name="NationalOffice" sheetId="1" r:id="rId1"/>
    <sheet name="ProvincialPublicHealth" sheetId="2" r:id="rId2"/>
    <sheet name="DistrictHealthOffice" sheetId="4" r:id="rId3"/>
    <sheet name="Puskesmas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F4" i="2"/>
  <c r="F3" i="2"/>
  <c r="F2" i="2"/>
  <c r="E13" i="3"/>
  <c r="E12" i="3"/>
  <c r="E11" i="3"/>
  <c r="E10" i="3"/>
  <c r="E9" i="3"/>
  <c r="E8" i="3"/>
  <c r="E7" i="3"/>
  <c r="E6" i="3"/>
  <c r="E5" i="3"/>
  <c r="E4" i="3"/>
  <c r="E3" i="3"/>
  <c r="E2" i="3"/>
  <c r="E7" i="4"/>
  <c r="E6" i="4"/>
  <c r="E5" i="4"/>
  <c r="E4" i="4"/>
  <c r="E3" i="4"/>
  <c r="E2" i="4"/>
</calcChain>
</file>

<file path=xl/sharedStrings.xml><?xml version="1.0" encoding="utf-8"?>
<sst xmlns="http://schemas.openxmlformats.org/spreadsheetml/2006/main" count="71" uniqueCount="36">
  <si>
    <t>Name</t>
  </si>
  <si>
    <t>Latitude</t>
  </si>
  <si>
    <t>Longitude</t>
  </si>
  <si>
    <t>Warehouse</t>
  </si>
  <si>
    <t>North Kalimantan</t>
  </si>
  <si>
    <t>Papua</t>
  </si>
  <si>
    <t>West Papua</t>
  </si>
  <si>
    <t>Province</t>
  </si>
  <si>
    <t>Type</t>
  </si>
  <si>
    <t>Provincial Health Office</t>
  </si>
  <si>
    <t>BioFarma</t>
  </si>
  <si>
    <t>Upstream Connection</t>
  </si>
  <si>
    <t>PHOPapua</t>
  </si>
  <si>
    <t>PHOWestPapua</t>
  </si>
  <si>
    <t>PHONorthKalimantan</t>
  </si>
  <si>
    <t>District Health Office</t>
  </si>
  <si>
    <t>Yapen</t>
  </si>
  <si>
    <t>BiakNumfor</t>
  </si>
  <si>
    <t>Kaimana</t>
  </si>
  <si>
    <t>TelukWondama</t>
  </si>
  <si>
    <t>Malinau</t>
  </si>
  <si>
    <t>Bulungan</t>
  </si>
  <si>
    <t>Wooi</t>
  </si>
  <si>
    <t>Windesi</t>
  </si>
  <si>
    <t>Yomdori</t>
  </si>
  <si>
    <t>Orkeri</t>
  </si>
  <si>
    <t>Tanusan</t>
  </si>
  <si>
    <t>Kambala</t>
  </si>
  <si>
    <t>Roswar</t>
  </si>
  <si>
    <t>Wasior</t>
  </si>
  <si>
    <t>Sesua</t>
  </si>
  <si>
    <t>Bunyu</t>
  </si>
  <si>
    <t>Salimbatu</t>
  </si>
  <si>
    <t>LongSule</t>
  </si>
  <si>
    <t>Annual Demand</t>
  </si>
  <si>
    <t>Initial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</si>
</sst>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indexed="8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1F0C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DAE9F8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F7C7AC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2">
    <xf numFmtId="0" fontId="0" fillId="0" borderId="0" xfId="0"/>
    <xf numFmtId="2" fontId="18" fillId="33" borderId="0" xfId="0" applyNumberFormat="1" applyFont="1" applyFill="1"/>
    <xf numFmtId="2" fontId="18" fillId="34" borderId="0" xfId="0" applyNumberFormat="1" applyFont="1" applyFill="1"/>
    <xf numFmtId="2" fontId="18" fillId="35" borderId="0" xfId="0" applyNumberFormat="1" applyFont="1" applyFill="1"/>
    <xf numFmtId="2" fontId="18" fillId="36" borderId="0" xfId="0" applyNumberFormat="1" applyFont="1" applyFill="1"/>
    <xf numFmtId="2" fontId="18" fillId="37" borderId="0" xfId="0" applyNumberFormat="1" applyFont="1" applyFill="1"/>
    <xf numFmtId="2" fontId="18" fillId="37" borderId="0" xfId="0" applyNumberFormat="1" applyFont="1" applyFill="1" applyAlignment="1">
      <alignment wrapText="1"/>
    </xf>
    <xf numFmtId="2" fontId="18" fillId="38" borderId="0" xfId="0" applyNumberFormat="1" applyFont="1" applyFill="1"/>
    <xf numFmtId="0" fontId="19" fillId="33" borderId="10" xfId="0" applyFont="1" applyFill="1" applyBorder="1" applyAlignment="1">
      <alignment wrapText="1"/>
    </xf>
    <xf numFmtId="0" fontId="19" fillId="34" borderId="10" xfId="0" applyFont="1" applyFill="1" applyBorder="1" applyAlignment="1">
      <alignment wrapText="1"/>
    </xf>
    <xf numFmtId="0" fontId="19" fillId="35" borderId="10" xfId="0" applyFont="1" applyFill="1" applyBorder="1" applyAlignment="1">
      <alignment wrapText="1"/>
    </xf>
    <xf numFmtId="0" fontId="19" fillId="36" borderId="10" xfId="0" applyFont="1" applyFill="1" applyBorder="1" applyAlignment="1">
      <alignment wrapText="1"/>
    </xf>
    <xf numFmtId="0" fontId="19" fillId="37" borderId="10" xfId="0" applyFont="1" applyFill="1" applyBorder="1" applyAlignment="1">
      <alignment wrapText="1"/>
    </xf>
    <xf numFmtId="0" fontId="19" fillId="38" borderId="10" xfId="0" applyFont="1" applyFill="1" applyBorder="1" applyAlignment="1">
      <alignment wrapText="1"/>
    </xf>
    <xf numFmtId="0" fontId="19" fillId="33" borderId="10" xfId="0" applyFont="1" applyFill="1" applyBorder="1" applyAlignment="1">
      <alignment horizontal="right" wrapText="1"/>
    </xf>
    <xf numFmtId="0" fontId="20" fillId="34" borderId="10" xfId="0" applyFont="1" applyFill="1" applyBorder="1" applyAlignment="1">
      <alignment horizontal="right" wrapText="1"/>
    </xf>
    <xf numFmtId="0" fontId="20" fillId="35" borderId="10" xfId="0" applyFont="1" applyFill="1" applyBorder="1" applyAlignment="1">
      <alignment horizontal="right" wrapText="1"/>
    </xf>
    <xf numFmtId="0" fontId="20" fillId="36" borderId="10" xfId="0" applyFont="1" applyFill="1" applyBorder="1" applyAlignment="1">
      <alignment horizontal="right" wrapText="1"/>
    </xf>
    <xf numFmtId="0" fontId="20" fillId="37" borderId="10" xfId="0" applyFont="1" applyFill="1" applyBorder="1" applyAlignment="1">
      <alignment horizontal="right" wrapText="1"/>
    </xf>
    <xf numFmtId="0" fontId="20" fillId="38" borderId="10" xfId="0" applyFont="1" applyFill="1" applyBorder="1" applyAlignment="1">
      <alignment horizontal="right" wrapText="1"/>
    </xf>
    <xf numFmtId="0" fontId="20" fillId="33" borderId="10" xfId="0" applyFont="1" applyFill="1" applyBorder="1" applyAlignment="1">
      <alignment horizontal="right" wrapText="1"/>
    </xf>
    <xf numFmtId="0" fontId="19" fillId="34" borderId="10" xfId="0" applyFont="1" applyFill="1" applyBorder="1" applyAlignment="1">
      <alignment horizontal="righ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AE70DF-A7F5-4EBA-9A4E-6625684456F1}">
  <dimension ref="A1:E2"/>
  <sheetViews>
    <sheetView workbookViewId="0">
      <selection activeCell="E2" sqref="E2"/>
    </sheetView>
  </sheetViews>
  <sheetFormatPr defaultRowHeight="15" x14ac:dyDescent="0.25"/>
  <cols>
    <col min="1" max="1" width="10" bestFit="1" customWidth="1"/>
  </cols>
  <sheetData>
    <row r="1" spans="1:5" x14ac:dyDescent="0.25">
      <c r="A1" t="s">
        <v>0</v>
      </c>
      <c r="B1" t="s">
        <v>8</v>
      </c>
      <c r="C1" t="s">
        <v>1</v>
      </c>
      <c r="D1" t="s">
        <v>2</v>
      </c>
      <c r="E1" t="s">
        <v>35</v>
      </c>
    </row>
    <row r="2" spans="1:5" x14ac:dyDescent="0.25">
      <c r="A2" t="s">
        <v>10</v>
      </c>
      <c r="B2" t="s">
        <v>3</v>
      </c>
      <c r="C2">
        <v>-6.8975999999999997</v>
      </c>
      <c r="D2">
        <v>107.6045</v>
      </c>
      <c r="E2">
        <f>SUM(ProvincialPublicHealth!F2:F4)</f>
        <v>8642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85C89-820F-4524-AF6D-187344255E48}">
  <dimension ref="A1:F4"/>
  <sheetViews>
    <sheetView tabSelected="1" workbookViewId="0">
      <selection activeCell="F2" sqref="F2"/>
    </sheetView>
  </sheetViews>
  <sheetFormatPr defaultRowHeight="15" x14ac:dyDescent="0.25"/>
  <cols>
    <col min="1" max="1" width="19" bestFit="1" customWidth="1"/>
    <col min="2" max="2" width="22" customWidth="1"/>
    <col min="5" max="5" width="20.28515625" bestFit="1" customWidth="1"/>
  </cols>
  <sheetData>
    <row r="1" spans="1:6" x14ac:dyDescent="0.25">
      <c r="A1" t="s">
        <v>0</v>
      </c>
      <c r="B1" t="s">
        <v>8</v>
      </c>
      <c r="C1" t="s">
        <v>1</v>
      </c>
      <c r="D1" t="s">
        <v>2</v>
      </c>
      <c r="E1" t="s">
        <v>11</v>
      </c>
      <c r="F1" t="s">
        <v>35</v>
      </c>
    </row>
    <row r="2" spans="1:6" x14ac:dyDescent="0.25">
      <c r="A2" t="s">
        <v>12</v>
      </c>
      <c r="B2" t="s">
        <v>9</v>
      </c>
      <c r="C2" s="2">
        <v>-2.6025074110039998</v>
      </c>
      <c r="D2">
        <v>140.67348730942601</v>
      </c>
      <c r="E2" t="s">
        <v>10</v>
      </c>
      <c r="F2">
        <f>SUM(DistrictHealthOffice!F2:F3)</f>
        <v>2346</v>
      </c>
    </row>
    <row r="3" spans="1:6" x14ac:dyDescent="0.25">
      <c r="A3" t="s">
        <v>13</v>
      </c>
      <c r="B3" t="s">
        <v>9</v>
      </c>
      <c r="C3" s="2">
        <v>-0.92318704230664395</v>
      </c>
      <c r="D3">
        <v>134.03438844232801</v>
      </c>
      <c r="E3" t="s">
        <v>10</v>
      </c>
      <c r="F3">
        <f>SUM(DistrictHealthOffice!F4:F5)</f>
        <v>1316</v>
      </c>
    </row>
    <row r="4" spans="1:6" x14ac:dyDescent="0.25">
      <c r="A4" t="s">
        <v>14</v>
      </c>
      <c r="B4" t="s">
        <v>9</v>
      </c>
      <c r="C4" s="5">
        <v>2.8328995471436702</v>
      </c>
      <c r="D4">
        <v>117.39359407772</v>
      </c>
      <c r="E4" t="s">
        <v>10</v>
      </c>
      <c r="F4">
        <f>SUM(DistrictHealthOffice!F6:F7)</f>
        <v>4980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374B-C969-4E87-BEE9-45241CCB8CDB}">
  <dimension ref="A1:F7"/>
  <sheetViews>
    <sheetView workbookViewId="0">
      <selection activeCell="F4" sqref="F4:F5"/>
    </sheetView>
  </sheetViews>
  <sheetFormatPr defaultRowHeight="15" x14ac:dyDescent="0.25"/>
  <cols>
    <col min="1" max="1" width="19" bestFit="1" customWidth="1"/>
    <col min="2" max="2" width="22" customWidth="1"/>
    <col min="5" max="5" width="20.42578125" bestFit="1" customWidth="1"/>
  </cols>
  <sheetData>
    <row r="1" spans="1:6" x14ac:dyDescent="0.25">
      <c r="A1" t="s">
        <v>0</v>
      </c>
      <c r="B1" t="s">
        <v>8</v>
      </c>
      <c r="C1" t="s">
        <v>1</v>
      </c>
      <c r="D1" t="s">
        <v>2</v>
      </c>
      <c r="E1" t="s">
        <v>11</v>
      </c>
      <c r="F1" t="s">
        <v>35</v>
      </c>
    </row>
    <row r="2" spans="1:6" x14ac:dyDescent="0.25">
      <c r="A2" s="1" t="s">
        <v>16</v>
      </c>
      <c r="B2" t="s">
        <v>15</v>
      </c>
      <c r="C2" s="1">
        <v>-1.8422904609478199</v>
      </c>
      <c r="D2">
        <v>136.238107390989</v>
      </c>
      <c r="E2" t="str">
        <f>ProvincialPublicHealth!A2</f>
        <v>PHOPapua</v>
      </c>
      <c r="F2">
        <v>1348</v>
      </c>
    </row>
    <row r="3" spans="1:6" x14ac:dyDescent="0.25">
      <c r="A3" s="2" t="s">
        <v>17</v>
      </c>
      <c r="B3" t="s">
        <v>15</v>
      </c>
      <c r="C3" s="2">
        <v>-1.17429952681732</v>
      </c>
      <c r="D3">
        <v>136.07705652966999</v>
      </c>
      <c r="E3" t="str">
        <f>ProvincialPublicHealth!A2</f>
        <v>PHOPapua</v>
      </c>
      <c r="F3">
        <v>998</v>
      </c>
    </row>
    <row r="4" spans="1:6" x14ac:dyDescent="0.25">
      <c r="A4" s="3" t="s">
        <v>18</v>
      </c>
      <c r="B4" t="s">
        <v>15</v>
      </c>
      <c r="C4" s="3">
        <v>-3.64051869331414</v>
      </c>
      <c r="D4">
        <v>133.74154486024901</v>
      </c>
      <c r="E4" t="str">
        <f>ProvincialPublicHealth!A3</f>
        <v>PHOWestPapua</v>
      </c>
      <c r="F4">
        <v>504</v>
      </c>
    </row>
    <row r="5" spans="1:6" x14ac:dyDescent="0.25">
      <c r="A5" s="4" t="s">
        <v>19</v>
      </c>
      <c r="B5" t="s">
        <v>15</v>
      </c>
      <c r="C5" s="4">
        <v>-2.8153222293189</v>
      </c>
      <c r="D5">
        <v>134.53693615007199</v>
      </c>
      <c r="E5" t="str">
        <f>ProvincialPublicHealth!A3</f>
        <v>PHOWestPapua</v>
      </c>
      <c r="F5">
        <v>812</v>
      </c>
    </row>
    <row r="6" spans="1:6" x14ac:dyDescent="0.25">
      <c r="A6" s="5" t="s">
        <v>20</v>
      </c>
      <c r="B6" t="s">
        <v>15</v>
      </c>
      <c r="C6" s="5">
        <v>3.6177392015440901</v>
      </c>
      <c r="D6">
        <v>116.608687764956</v>
      </c>
      <c r="E6" t="str">
        <f>ProvincialPublicHealth!A4</f>
        <v>PHONorthKalimantan</v>
      </c>
      <c r="F6">
        <v>1824</v>
      </c>
    </row>
    <row r="7" spans="1:6" x14ac:dyDescent="0.25">
      <c r="A7" s="7" t="s">
        <v>21</v>
      </c>
      <c r="B7" t="s">
        <v>15</v>
      </c>
      <c r="C7" s="7">
        <v>2.8468313498968398</v>
      </c>
      <c r="D7">
        <v>117.38749377154799</v>
      </c>
      <c r="E7" t="str">
        <f>ProvincialPublicHealth!A4</f>
        <v>PHONorthKalimantan</v>
      </c>
      <c r="F7">
        <v>3156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AA237-CD4F-4868-9842-2B0C8D95453B}">
  <dimension ref="A1:G13"/>
  <sheetViews>
    <sheetView workbookViewId="0">
      <selection activeCell="E19" sqref="E19"/>
    </sheetView>
  </sheetViews>
  <sheetFormatPr defaultRowHeight="15" x14ac:dyDescent="0.25"/>
  <cols>
    <col min="1" max="1" width="26.85546875" bestFit="1" customWidth="1"/>
    <col min="2" max="2" width="16.85546875" bestFit="1" customWidth="1"/>
    <col min="5" max="5" width="20.28515625" bestFit="1" customWidth="1"/>
    <col min="6" max="6" width="15.28515625" bestFit="1" customWidth="1"/>
  </cols>
  <sheetData>
    <row r="1" spans="1:7" ht="15.75" thickBot="1" x14ac:dyDescent="0.3">
      <c r="A1" t="s">
        <v>0</v>
      </c>
      <c r="B1" t="s">
        <v>7</v>
      </c>
      <c r="C1" t="s">
        <v>1</v>
      </c>
      <c r="D1" t="s">
        <v>2</v>
      </c>
      <c r="E1" t="s">
        <v>11</v>
      </c>
      <c r="F1" t="s">
        <v>34</v>
      </c>
      <c r="G1" t="s">
        <v>35</v>
      </c>
    </row>
    <row r="2" spans="1:7" ht="15.75" thickBot="1" x14ac:dyDescent="0.3">
      <c r="A2" s="1" t="s">
        <v>22</v>
      </c>
      <c r="B2" t="s">
        <v>5</v>
      </c>
      <c r="C2" s="8">
        <v>-1.61064751969144</v>
      </c>
      <c r="D2">
        <v>135.44274443639199</v>
      </c>
      <c r="E2" t="str">
        <f>DistrictHealthOffice!A2</f>
        <v>Yapen</v>
      </c>
      <c r="F2" s="20">
        <v>660</v>
      </c>
      <c r="G2" s="14">
        <v>674</v>
      </c>
    </row>
    <row r="3" spans="1:7" ht="15.75" thickBot="1" x14ac:dyDescent="0.3">
      <c r="A3" s="1" t="s">
        <v>23</v>
      </c>
      <c r="B3" t="s">
        <v>5</v>
      </c>
      <c r="C3" s="8">
        <v>-1.6366618939606701</v>
      </c>
      <c r="D3">
        <v>135.913922963788</v>
      </c>
      <c r="E3" t="str">
        <f>DistrictHealthOffice!A2</f>
        <v>Yapen</v>
      </c>
      <c r="F3" s="20">
        <v>660</v>
      </c>
      <c r="G3" s="14">
        <v>674</v>
      </c>
    </row>
    <row r="4" spans="1:7" ht="15.75" thickBot="1" x14ac:dyDescent="0.3">
      <c r="A4" s="2" t="s">
        <v>24</v>
      </c>
      <c r="B4" t="s">
        <v>5</v>
      </c>
      <c r="C4" s="9">
        <v>-1.04458743699844</v>
      </c>
      <c r="D4">
        <v>135.86399250532699</v>
      </c>
      <c r="E4" t="str">
        <f>DistrictHealthOffice!A3</f>
        <v>BiakNumfor</v>
      </c>
      <c r="F4" s="21">
        <v>748</v>
      </c>
      <c r="G4" s="15">
        <v>499</v>
      </c>
    </row>
    <row r="5" spans="1:7" ht="15.75" thickBot="1" x14ac:dyDescent="0.3">
      <c r="A5" s="2" t="s">
        <v>25</v>
      </c>
      <c r="B5" t="s">
        <v>5</v>
      </c>
      <c r="C5" s="9">
        <v>-0.95816914533692499</v>
      </c>
      <c r="D5">
        <v>134.91975310065101</v>
      </c>
      <c r="E5" t="str">
        <f>DistrictHealthOffice!A3</f>
        <v>BiakNumfor</v>
      </c>
      <c r="F5" s="21">
        <v>748</v>
      </c>
      <c r="G5" s="15">
        <v>499</v>
      </c>
    </row>
    <row r="6" spans="1:7" ht="15.75" thickBot="1" x14ac:dyDescent="0.3">
      <c r="A6" s="3" t="s">
        <v>26</v>
      </c>
      <c r="B6" t="s">
        <v>6</v>
      </c>
      <c r="C6" s="10">
        <v>-3.0808659690697602</v>
      </c>
      <c r="D6">
        <v>133.664687738232</v>
      </c>
      <c r="E6" t="str">
        <f>DistrictHealthOffice!A4</f>
        <v>Kaimana</v>
      </c>
      <c r="F6" s="16">
        <v>138</v>
      </c>
      <c r="G6" s="16">
        <v>252</v>
      </c>
    </row>
    <row r="7" spans="1:7" ht="15.75" thickBot="1" x14ac:dyDescent="0.3">
      <c r="A7" s="3" t="s">
        <v>27</v>
      </c>
      <c r="B7" t="s">
        <v>6</v>
      </c>
      <c r="C7" s="10">
        <v>-3.6201589116883701</v>
      </c>
      <c r="D7">
        <v>133.43101497844799</v>
      </c>
      <c r="E7" t="str">
        <f>DistrictHealthOffice!A4</f>
        <v>Kaimana</v>
      </c>
      <c r="F7" s="16">
        <v>138</v>
      </c>
      <c r="G7" s="16">
        <v>252</v>
      </c>
    </row>
    <row r="8" spans="1:7" ht="15.75" thickBot="1" x14ac:dyDescent="0.3">
      <c r="A8" s="4" t="s">
        <v>28</v>
      </c>
      <c r="B8" t="s">
        <v>6</v>
      </c>
      <c r="C8" s="11">
        <v>-2.0606722996972402</v>
      </c>
      <c r="D8">
        <v>134.35274004669199</v>
      </c>
      <c r="E8" t="str">
        <f>DistrictHealthOffice!A5</f>
        <v>TelukWondama</v>
      </c>
      <c r="F8" s="17">
        <v>306</v>
      </c>
      <c r="G8" s="17">
        <v>406</v>
      </c>
    </row>
    <row r="9" spans="1:7" ht="15.75" thickBot="1" x14ac:dyDescent="0.3">
      <c r="A9" s="4" t="s">
        <v>29</v>
      </c>
      <c r="B9" t="s">
        <v>6</v>
      </c>
      <c r="C9" s="11">
        <v>-2.70027216068081</v>
      </c>
      <c r="D9">
        <v>134.50994578377899</v>
      </c>
      <c r="E9" t="str">
        <f>DistrictHealthOffice!A5</f>
        <v>TelukWondama</v>
      </c>
      <c r="F9" s="17">
        <v>306</v>
      </c>
      <c r="G9" s="17">
        <v>406</v>
      </c>
    </row>
    <row r="10" spans="1:7" ht="15.75" thickBot="1" x14ac:dyDescent="0.3">
      <c r="A10" s="5" t="s">
        <v>33</v>
      </c>
      <c r="B10" t="s">
        <v>4</v>
      </c>
      <c r="C10" s="12">
        <v>1.5334396419363501</v>
      </c>
      <c r="D10">
        <v>115.698051380062</v>
      </c>
      <c r="E10" t="str">
        <f>DistrictHealthOffice!A6</f>
        <v>Malinau</v>
      </c>
      <c r="F10" s="18">
        <v>759</v>
      </c>
      <c r="G10" s="18">
        <v>912</v>
      </c>
    </row>
    <row r="11" spans="1:7" ht="15.75" thickBot="1" x14ac:dyDescent="0.3">
      <c r="A11" s="6" t="s">
        <v>30</v>
      </c>
      <c r="B11" t="s">
        <v>4</v>
      </c>
      <c r="C11" s="12">
        <v>3.4811981002066199</v>
      </c>
      <c r="D11">
        <v>116.659518928121</v>
      </c>
      <c r="E11" t="str">
        <f>DistrictHealthOffice!A6</f>
        <v>Malinau</v>
      </c>
      <c r="F11" s="18">
        <v>759</v>
      </c>
      <c r="G11" s="18">
        <v>912</v>
      </c>
    </row>
    <row r="12" spans="1:7" ht="15.75" thickBot="1" x14ac:dyDescent="0.3">
      <c r="A12" s="7" t="s">
        <v>31</v>
      </c>
      <c r="B12" t="s">
        <v>4</v>
      </c>
      <c r="C12" s="13">
        <v>3.4947019699173798</v>
      </c>
      <c r="D12">
        <v>117.860873683788</v>
      </c>
      <c r="E12" t="str">
        <f>DistrictHealthOffice!A7</f>
        <v>Bulungan</v>
      </c>
      <c r="F12" s="19">
        <v>1499</v>
      </c>
      <c r="G12" s="19">
        <v>1578</v>
      </c>
    </row>
    <row r="13" spans="1:7" ht="15.75" thickBot="1" x14ac:dyDescent="0.3">
      <c r="A13" s="7" t="s">
        <v>32</v>
      </c>
      <c r="B13" t="s">
        <v>4</v>
      </c>
      <c r="C13" s="13">
        <v>2.9558984580186198</v>
      </c>
      <c r="D13">
        <v>117.348328497341</v>
      </c>
      <c r="E13" t="str">
        <f>DistrictHealthOffice!A7</f>
        <v>Bulungan</v>
      </c>
      <c r="F13" s="19">
        <v>1499</v>
      </c>
      <c r="G13" s="19">
        <v>1578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NationalOffice</vt:lpstr>
      <vt:lpstr>ProvincialPublicHealth</vt:lpstr>
      <vt:lpstr>DistrictHealthOffice</vt:lpstr>
      <vt:lpstr>Puskesmas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Farshid Babaei</cp:lastModifiedBy>
  <dcterms:created xsi:type="dcterms:W3CDTF">2025-06-06T15:04:22Z</dcterms:created>
  <dcterms:modified xsi:type="dcterms:W3CDTF">2025-08-26T19:16:55Z</dcterms:modified>
</cp:coreProperties>
</file>