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c1fb\Models\Vax SC\Data\"/>
    </mc:Choice>
  </mc:AlternateContent>
  <xr:revisionPtr revIDLastSave="0" documentId="13_ncr:1_{2C6C7C43-EDA2-4623-83C4-BDA1E13FEFC7}" xr6:coauthVersionLast="47" xr6:coauthVersionMax="47" xr10:uidLastSave="{00000000-0000-0000-0000-000000000000}"/>
  <bookViews>
    <workbookView xWindow="-120" yWindow="-120" windowWidth="25440" windowHeight="14775" activeTab="2" xr2:uid="{FA23C16F-3C1C-4E68-AD36-4215747A6BE9}"/>
  </bookViews>
  <sheets>
    <sheet name="NationalOffice" sheetId="1" r:id="rId1"/>
    <sheet name="ProvincialPublicHealth" sheetId="2" r:id="rId2"/>
    <sheet name="DistrictHealthOffice" sheetId="4" r:id="rId3"/>
    <sheet name="Puskesma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2" i="3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" i="2" l="1"/>
  <c r="E2" i="1" s="1"/>
</calcChain>
</file>

<file path=xl/sharedStrings.xml><?xml version="1.0" encoding="utf-8"?>
<sst xmlns="http://schemas.openxmlformats.org/spreadsheetml/2006/main" count="205" uniqueCount="72">
  <si>
    <t>Name</t>
  </si>
  <si>
    <t>Latitude</t>
  </si>
  <si>
    <t>Longitude</t>
  </si>
  <si>
    <t>Warehouse</t>
  </si>
  <si>
    <t>Province</t>
  </si>
  <si>
    <t>Type</t>
  </si>
  <si>
    <t>Provincial Health Office</t>
  </si>
  <si>
    <t>Upstream Connection</t>
  </si>
  <si>
    <t>Annual Demand</t>
  </si>
  <si>
    <t>Initial Demand</t>
  </si>
  <si>
    <t>Lotumbe</t>
  </si>
  <si>
    <t>Ntondo</t>
  </si>
  <si>
    <t>Equateur</t>
  </si>
  <si>
    <t>Health Zone</t>
  </si>
  <si>
    <t>PHOEquateur</t>
  </si>
  <si>
    <t>Supplier</t>
  </si>
  <si>
    <t>HZMbandaka</t>
  </si>
  <si>
    <t>HZBasankusu</t>
  </si>
  <si>
    <t>HZBikoro</t>
  </si>
  <si>
    <t>HZBolomba</t>
  </si>
  <si>
    <t>HZBomongo</t>
  </si>
  <si>
    <t>HZDjombo</t>
  </si>
  <si>
    <t>HZIboko</t>
  </si>
  <si>
    <t>HZIngende</t>
  </si>
  <si>
    <t>HZIrebu</t>
  </si>
  <si>
    <t>HZLilanga Bobangi</t>
  </si>
  <si>
    <t>HZLolanga Mampoko</t>
  </si>
  <si>
    <t>HZLotumbe</t>
  </si>
  <si>
    <t>HZLukolela</t>
  </si>
  <si>
    <t>HZMakanza</t>
  </si>
  <si>
    <t>HZMonieka</t>
  </si>
  <si>
    <t>HZNtondo</t>
  </si>
  <si>
    <t>HZWangata</t>
  </si>
  <si>
    <t>HZBolenge</t>
  </si>
  <si>
    <t>Bolenge</t>
  </si>
  <si>
    <t>Bokeka</t>
  </si>
  <si>
    <t>Bosongo</t>
  </si>
  <si>
    <t>Botunu</t>
  </si>
  <si>
    <t>De la Rive</t>
  </si>
  <si>
    <t>Djoa</t>
  </si>
  <si>
    <t>Itumba</t>
  </si>
  <si>
    <t>Iyembe Monene</t>
  </si>
  <si>
    <t>Losako</t>
  </si>
  <si>
    <t>Maanga</t>
  </si>
  <si>
    <t>Mampoko</t>
  </si>
  <si>
    <t>Nkondi</t>
  </si>
  <si>
    <t>Penzele</t>
  </si>
  <si>
    <t>Bafumba</t>
  </si>
  <si>
    <t>Batsina Lifumba</t>
  </si>
  <si>
    <t>Bobanga</t>
  </si>
  <si>
    <t>Bolombo</t>
  </si>
  <si>
    <t>Bongila</t>
  </si>
  <si>
    <t>Bonsole Lofosola</t>
  </si>
  <si>
    <t>Bosoisongo</t>
  </si>
  <si>
    <t>Boyeka</t>
  </si>
  <si>
    <t>Buburu</t>
  </si>
  <si>
    <t>Ikoko Motaka</t>
  </si>
  <si>
    <t>Ilambasa</t>
  </si>
  <si>
    <t>Libanda</t>
  </si>
  <si>
    <t>Ligbalo</t>
  </si>
  <si>
    <t>Likuba</t>
  </si>
  <si>
    <t>Lobengo</t>
  </si>
  <si>
    <t>Lobuya</t>
  </si>
  <si>
    <t>Lokolo Moko</t>
  </si>
  <si>
    <t>Lokongo</t>
  </si>
  <si>
    <t>Makako</t>
  </si>
  <si>
    <t>Mambenga 1</t>
  </si>
  <si>
    <t>Monzambi</t>
  </si>
  <si>
    <t>Salongo</t>
  </si>
  <si>
    <t>Waka</t>
  </si>
  <si>
    <t>Boso-Mbuki</t>
  </si>
  <si>
    <t>Demand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</si>
</sst>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E70DF-A7F5-4EBA-9A4E-6625684456F1}">
  <dimension ref="A1:E2"/>
  <sheetViews>
    <sheetView workbookViewId="0">
      <selection activeCell="E2" sqref="E2"/>
    </sheetView>
  </sheetViews>
  <sheetFormatPr defaultRowHeight="15" x14ac:dyDescent="0.25"/>
  <cols>
    <col min="1" max="1" width="10" bestFit="1" customWidth="1"/>
    <col min="2" max="2" width="11" bestFit="1" customWidth="1"/>
  </cols>
  <sheetData>
    <row r="1" spans="1:5" x14ac:dyDescent="0.25">
      <c r="A1" t="s">
        <v>0</v>
      </c>
      <c r="B1" t="s">
        <v>5</v>
      </c>
      <c r="C1" t="s">
        <v>1</v>
      </c>
      <c r="D1" t="s">
        <v>2</v>
      </c>
      <c r="E1" t="s">
        <v>9</v>
      </c>
    </row>
    <row r="2" spans="1:5" x14ac:dyDescent="0.25">
      <c r="A2" t="s">
        <v>15</v>
      </c>
      <c r="B2" t="s">
        <v>3</v>
      </c>
      <c r="C2" s="1">
        <v>4.5199999999999997E-2</v>
      </c>
      <c r="D2" s="1">
        <v>18.264500000000002</v>
      </c>
      <c r="E2">
        <f>SUM(ProvincialPublicHealth!F2:F4)</f>
        <v>1824999.9981750008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85C89-820F-4524-AF6D-187344255E48}">
  <dimension ref="A1:F2"/>
  <sheetViews>
    <sheetView workbookViewId="0">
      <selection activeCell="F2" sqref="F2"/>
    </sheetView>
  </sheetViews>
  <sheetFormatPr defaultRowHeight="15" x14ac:dyDescent="0.25"/>
  <cols>
    <col min="1" max="1" width="19" bestFit="1" customWidth="1"/>
    <col min="2" max="2" width="22" customWidth="1"/>
    <col min="5" max="5" width="20.28515625" bestFit="1" customWidth="1"/>
  </cols>
  <sheetData>
    <row r="1" spans="1:6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6" x14ac:dyDescent="0.25">
      <c r="A2" t="s">
        <v>14</v>
      </c>
      <c r="B2" t="s">
        <v>6</v>
      </c>
      <c r="C2" s="1">
        <v>4.5199999999999997E-2</v>
      </c>
      <c r="D2" s="1">
        <v>18.264500000000002</v>
      </c>
      <c r="E2" t="s">
        <v>15</v>
      </c>
      <c r="F2">
        <f>SUM(DistrictHealthOffice!F2:F19)</f>
        <v>1824999.9981750008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374B-C969-4E87-BEE9-45241CCB8CDB}">
  <dimension ref="A1:G19"/>
  <sheetViews>
    <sheetView tabSelected="1" workbookViewId="0">
      <selection activeCell="F2" sqref="F2"/>
    </sheetView>
  </sheetViews>
  <sheetFormatPr defaultRowHeight="15" x14ac:dyDescent="0.25"/>
  <cols>
    <col min="1" max="1" width="19" bestFit="1" customWidth="1"/>
    <col min="2" max="2" width="22" customWidth="1"/>
    <col min="5" max="5" width="20.42578125" bestFit="1" customWidth="1"/>
    <col min="6" max="6" width="14.140625" bestFit="1" customWidth="1"/>
  </cols>
  <sheetData>
    <row r="1" spans="1:7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  <c r="G1" t="s">
        <v>71</v>
      </c>
    </row>
    <row r="2" spans="1:7" x14ac:dyDescent="0.25">
      <c r="A2" s="1" t="s">
        <v>16</v>
      </c>
      <c r="B2" t="s">
        <v>13</v>
      </c>
      <c r="C2" s="1">
        <v>4.5199999999999997E-2</v>
      </c>
      <c r="D2" s="1">
        <v>18.264500000000002</v>
      </c>
      <c r="E2" t="s">
        <v>14</v>
      </c>
      <c r="F2" s="1">
        <f>SUM(Puskesmas!G2:G3)</f>
        <v>116041.84390000002</v>
      </c>
      <c r="G2" s="1">
        <f>F2/SUM($F$2:$F$19)</f>
        <v>6.358457206358456E-2</v>
      </c>
    </row>
    <row r="3" spans="1:7" x14ac:dyDescent="0.25">
      <c r="A3" s="1" t="s">
        <v>17</v>
      </c>
      <c r="B3" t="s">
        <v>13</v>
      </c>
      <c r="C3" s="1">
        <v>1.2185999999999999</v>
      </c>
      <c r="D3" s="1">
        <v>19.7912</v>
      </c>
      <c r="E3" t="s">
        <v>14</v>
      </c>
      <c r="F3" s="1">
        <f>SUM(Puskesmas!G4:G6)</f>
        <v>206265.59529999999</v>
      </c>
      <c r="G3" s="1">
        <f t="shared" ref="G3:G19" si="0">F3/SUM($F$2:$F$19)</f>
        <v>0.11302224411302218</v>
      </c>
    </row>
    <row r="4" spans="1:7" x14ac:dyDescent="0.25">
      <c r="A4" s="1" t="s">
        <v>18</v>
      </c>
      <c r="B4" t="s">
        <v>13</v>
      </c>
      <c r="C4" s="1">
        <v>-0.72570000000000001</v>
      </c>
      <c r="D4" s="1">
        <v>18.124600000000001</v>
      </c>
      <c r="E4" t="s">
        <v>14</v>
      </c>
      <c r="F4" s="1">
        <f>SUM(Puskesmas!G7:G9)</f>
        <v>123000.93025</v>
      </c>
      <c r="G4" s="1">
        <f t="shared" si="0"/>
        <v>6.739777006739775E-2</v>
      </c>
    </row>
    <row r="5" spans="1:7" x14ac:dyDescent="0.25">
      <c r="A5" s="1" t="s">
        <v>33</v>
      </c>
      <c r="B5" t="s">
        <v>13</v>
      </c>
      <c r="C5" s="1">
        <v>1.8699999999999999E-3</v>
      </c>
      <c r="D5" s="1">
        <v>18.210999999999999</v>
      </c>
      <c r="E5" t="s">
        <v>14</v>
      </c>
      <c r="F5" s="1">
        <f>SUM(Puskesmas!G10:G11)</f>
        <v>68536.694224999999</v>
      </c>
      <c r="G5" s="1">
        <f t="shared" si="0"/>
        <v>3.7554353037554333E-2</v>
      </c>
    </row>
    <row r="6" spans="1:7" x14ac:dyDescent="0.25">
      <c r="A6" s="1" t="s">
        <v>19</v>
      </c>
      <c r="B6" t="s">
        <v>13</v>
      </c>
      <c r="C6" s="1">
        <v>0.35349999999999998</v>
      </c>
      <c r="D6" s="1">
        <v>19.222999999999999</v>
      </c>
      <c r="E6" t="s">
        <v>14</v>
      </c>
      <c r="F6" s="1">
        <f>SUM(Puskesmas!G12:G16)</f>
        <v>221127.34227500006</v>
      </c>
      <c r="G6" s="1">
        <f t="shared" si="0"/>
        <v>0.12116566712116565</v>
      </c>
    </row>
    <row r="7" spans="1:7" x14ac:dyDescent="0.25">
      <c r="A7" s="1" t="s">
        <v>20</v>
      </c>
      <c r="B7" t="s">
        <v>13</v>
      </c>
      <c r="C7" s="1">
        <v>1.38</v>
      </c>
      <c r="D7" s="1">
        <v>18.3506</v>
      </c>
      <c r="E7" t="s">
        <v>14</v>
      </c>
      <c r="F7" s="1">
        <f>SUM(Puskesmas!G17:G18)</f>
        <v>88107.397450000004</v>
      </c>
      <c r="G7" s="1">
        <f t="shared" si="0"/>
        <v>4.8278026048278008E-2</v>
      </c>
    </row>
    <row r="8" spans="1:7" x14ac:dyDescent="0.25">
      <c r="A8" s="1" t="s">
        <v>21</v>
      </c>
      <c r="B8" t="s">
        <v>13</v>
      </c>
      <c r="C8" s="1">
        <v>1.3486</v>
      </c>
      <c r="D8" s="1">
        <v>20.382899999999999</v>
      </c>
      <c r="E8" t="s">
        <v>14</v>
      </c>
      <c r="F8" s="1">
        <f>SUM(Puskesmas!G19)</f>
        <v>92383.804974999992</v>
      </c>
      <c r="G8" s="1">
        <f t="shared" si="0"/>
        <v>5.0621263050621236E-2</v>
      </c>
    </row>
    <row r="9" spans="1:7" x14ac:dyDescent="0.25">
      <c r="A9" s="1" t="s">
        <v>22</v>
      </c>
      <c r="B9" t="s">
        <v>13</v>
      </c>
      <c r="C9" s="1">
        <v>-1.1132</v>
      </c>
      <c r="D9" s="1">
        <v>18.5334</v>
      </c>
      <c r="E9" t="s">
        <v>14</v>
      </c>
      <c r="F9" s="1">
        <f>SUM(Puskesmas!G20)</f>
        <v>82515.513500000001</v>
      </c>
      <c r="G9" s="1">
        <f t="shared" si="0"/>
        <v>4.5213980045213958E-2</v>
      </c>
    </row>
    <row r="10" spans="1:7" x14ac:dyDescent="0.25">
      <c r="A10" s="1" t="s">
        <v>23</v>
      </c>
      <c r="B10" t="s">
        <v>13</v>
      </c>
      <c r="C10" s="1">
        <v>-0.30859999999999999</v>
      </c>
      <c r="D10" s="1">
        <v>18.965199999999999</v>
      </c>
      <c r="E10" t="s">
        <v>14</v>
      </c>
      <c r="F10" s="1">
        <f>SUM(Puskesmas!G21:G22)</f>
        <v>121623.91665000003</v>
      </c>
      <c r="G10" s="1">
        <f t="shared" si="0"/>
        <v>6.6643242066643224E-2</v>
      </c>
    </row>
    <row r="11" spans="1:7" x14ac:dyDescent="0.25">
      <c r="A11" s="1" t="s">
        <v>24</v>
      </c>
      <c r="B11" t="s">
        <v>13</v>
      </c>
      <c r="C11" s="1">
        <v>-0.61309999999999998</v>
      </c>
      <c r="D11" s="1">
        <v>17.740200000000002</v>
      </c>
      <c r="E11" t="s">
        <v>14</v>
      </c>
      <c r="F11" s="1">
        <f>SUM(Puskesmas!G23:G24)</f>
        <v>29051.932274999999</v>
      </c>
      <c r="G11" s="1">
        <f t="shared" si="0"/>
        <v>1.591886701591886E-2</v>
      </c>
    </row>
    <row r="12" spans="1:7" x14ac:dyDescent="0.25">
      <c r="A12" s="1" t="s">
        <v>25</v>
      </c>
      <c r="B12" t="s">
        <v>13</v>
      </c>
      <c r="C12" s="1">
        <v>-0.44059999999999999</v>
      </c>
      <c r="D12" s="1">
        <v>17.7424</v>
      </c>
      <c r="E12" t="s">
        <v>14</v>
      </c>
      <c r="F12" s="1">
        <f>SUM(Puskesmas!G25:G28)</f>
        <v>66117.112875000006</v>
      </c>
      <c r="G12" s="1">
        <f t="shared" si="0"/>
        <v>3.6228555036228544E-2</v>
      </c>
    </row>
    <row r="13" spans="1:7" x14ac:dyDescent="0.25">
      <c r="A13" s="1" t="s">
        <v>26</v>
      </c>
      <c r="B13" t="s">
        <v>13</v>
      </c>
      <c r="C13" s="1">
        <v>0.86180000000000001</v>
      </c>
      <c r="D13" s="1">
        <v>18.6755</v>
      </c>
      <c r="E13" t="s">
        <v>14</v>
      </c>
      <c r="F13" s="1">
        <f>SUM(Puskesmas!G29:G30)</f>
        <v>73921.670624999999</v>
      </c>
      <c r="G13" s="1">
        <f t="shared" si="0"/>
        <v>4.0505025040505009E-2</v>
      </c>
    </row>
    <row r="14" spans="1:7" x14ac:dyDescent="0.25">
      <c r="A14" s="1" t="s">
        <v>27</v>
      </c>
      <c r="B14" t="s">
        <v>13</v>
      </c>
      <c r="C14" s="1">
        <v>-0.52459999999999996</v>
      </c>
      <c r="D14" s="1">
        <v>19.425599999999999</v>
      </c>
      <c r="E14" t="s">
        <v>14</v>
      </c>
      <c r="F14" s="1">
        <f>SUM(Puskesmas!G31:G32)</f>
        <v>86299.621799999994</v>
      </c>
      <c r="G14" s="1">
        <f t="shared" si="0"/>
        <v>4.7287464047287439E-2</v>
      </c>
    </row>
    <row r="15" spans="1:7" x14ac:dyDescent="0.25">
      <c r="A15" s="1" t="s">
        <v>28</v>
      </c>
      <c r="B15" t="s">
        <v>13</v>
      </c>
      <c r="C15" s="1">
        <v>-1.0618000000000001</v>
      </c>
      <c r="D15" s="1">
        <v>17.177399999999999</v>
      </c>
      <c r="E15" t="s">
        <v>14</v>
      </c>
      <c r="F15" s="1">
        <f>SUM(Puskesmas!G33:G34)</f>
        <v>114568.512275</v>
      </c>
      <c r="G15" s="1">
        <f t="shared" si="0"/>
        <v>6.2777267062777239E-2</v>
      </c>
    </row>
    <row r="16" spans="1:7" x14ac:dyDescent="0.25">
      <c r="A16" s="1" t="s">
        <v>29</v>
      </c>
      <c r="B16" t="s">
        <v>13</v>
      </c>
      <c r="C16" s="1">
        <v>1.6144000000000001</v>
      </c>
      <c r="D16" s="1">
        <v>19.0943</v>
      </c>
      <c r="E16" t="s">
        <v>14</v>
      </c>
      <c r="F16" s="1">
        <f>SUM(Puskesmas!G35:G38)</f>
        <v>98088.06147500001</v>
      </c>
      <c r="G16" s="1">
        <f t="shared" si="0"/>
        <v>5.3746883053746863E-2</v>
      </c>
    </row>
    <row r="17" spans="1:7" x14ac:dyDescent="0.25">
      <c r="A17" s="1" t="s">
        <v>30</v>
      </c>
      <c r="B17" t="s">
        <v>13</v>
      </c>
      <c r="C17" s="1">
        <v>-0.20682</v>
      </c>
      <c r="D17" s="1">
        <v>20.052119999999999</v>
      </c>
      <c r="E17" t="s">
        <v>14</v>
      </c>
      <c r="F17" s="1">
        <f>SUM(Puskesmas!G39)</f>
        <v>65146.784099999997</v>
      </c>
      <c r="G17" s="1">
        <f t="shared" si="0"/>
        <v>3.5696868035696848E-2</v>
      </c>
    </row>
    <row r="18" spans="1:7" x14ac:dyDescent="0.25">
      <c r="A18" s="1" t="s">
        <v>31</v>
      </c>
      <c r="B18" t="s">
        <v>13</v>
      </c>
      <c r="C18" s="1">
        <v>-0.82450000000000001</v>
      </c>
      <c r="D18" s="1">
        <v>18.1294</v>
      </c>
      <c r="E18" t="s">
        <v>14</v>
      </c>
      <c r="F18" s="1">
        <f>SUM(Puskesmas!G40)</f>
        <v>52558.355675000006</v>
      </c>
      <c r="G18" s="1">
        <f t="shared" si="0"/>
        <v>2.879909902879909E-2</v>
      </c>
    </row>
    <row r="19" spans="1:7" x14ac:dyDescent="0.25">
      <c r="A19" s="1" t="s">
        <v>32</v>
      </c>
      <c r="B19" t="s">
        <v>13</v>
      </c>
      <c r="C19" s="1">
        <v>5.4399999999999997E-2</v>
      </c>
      <c r="D19" s="1">
        <v>18.332799999999999</v>
      </c>
      <c r="E19" t="s">
        <v>14</v>
      </c>
      <c r="F19" s="1">
        <f>SUM(Puskesmas!G41)</f>
        <v>119644.90854999999</v>
      </c>
      <c r="G19" s="1">
        <f t="shared" si="0"/>
        <v>6.5558854065558822E-2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AA237-CD4F-4868-9842-2B0C8D95453B}">
  <dimension ref="A1:H41"/>
  <sheetViews>
    <sheetView workbookViewId="0">
      <selection activeCell="H2" sqref="H2"/>
    </sheetView>
  </sheetViews>
  <sheetFormatPr defaultRowHeight="15" x14ac:dyDescent="0.25"/>
  <cols>
    <col min="1" max="1" width="26.85546875" bestFit="1" customWidth="1"/>
    <col min="2" max="2" width="16.85546875" bestFit="1" customWidth="1"/>
    <col min="5" max="5" width="20.28515625" bestFit="1" customWidth="1"/>
    <col min="6" max="6" width="15.28515625" bestFit="1" customWidth="1"/>
  </cols>
  <sheetData>
    <row r="1" spans="1:8" x14ac:dyDescent="0.25">
      <c r="A1" t="s">
        <v>0</v>
      </c>
      <c r="B1" t="s">
        <v>4</v>
      </c>
      <c r="C1" t="s">
        <v>1</v>
      </c>
      <c r="D1" t="s">
        <v>2</v>
      </c>
      <c r="E1" t="s">
        <v>7</v>
      </c>
      <c r="F1" t="s">
        <v>8</v>
      </c>
      <c r="G1" t="s">
        <v>9</v>
      </c>
      <c r="H1" t="s">
        <v>71</v>
      </c>
    </row>
    <row r="2" spans="1:8" x14ac:dyDescent="0.25">
      <c r="A2" t="s">
        <v>54</v>
      </c>
      <c r="B2" t="s">
        <v>12</v>
      </c>
      <c r="C2">
        <v>5.36622E-2</v>
      </c>
      <c r="D2">
        <v>18.333210000000001</v>
      </c>
      <c r="E2" t="s">
        <v>16</v>
      </c>
      <c r="F2" s="1">
        <v>58020.921950000011</v>
      </c>
      <c r="G2" s="1">
        <v>58020.921950000011</v>
      </c>
      <c r="H2">
        <f>F2/SUM($F$2:$F$41)</f>
        <v>3.1792286031792301E-2</v>
      </c>
    </row>
    <row r="3" spans="1:8" x14ac:dyDescent="0.25">
      <c r="A3" t="s">
        <v>66</v>
      </c>
      <c r="B3" t="s">
        <v>12</v>
      </c>
      <c r="C3">
        <v>5.475E-2</v>
      </c>
      <c r="D3">
        <v>18.266449999999999</v>
      </c>
      <c r="E3" t="s">
        <v>16</v>
      </c>
      <c r="F3" s="1">
        <v>58020.921950000011</v>
      </c>
      <c r="G3" s="1">
        <v>58020.921950000011</v>
      </c>
      <c r="H3">
        <f t="shared" ref="H3:H41" si="0">F3/SUM($F$2:$F$41)</f>
        <v>3.1792286031792301E-2</v>
      </c>
    </row>
    <row r="4" spans="1:8" x14ac:dyDescent="0.25">
      <c r="A4" s="1" t="s">
        <v>35</v>
      </c>
      <c r="B4" t="s">
        <v>12</v>
      </c>
      <c r="C4" s="1">
        <v>0.69919830000000005</v>
      </c>
      <c r="D4" s="1">
        <v>19.987680000000001</v>
      </c>
      <c r="E4" t="s">
        <v>17</v>
      </c>
      <c r="F4" s="1">
        <v>68755.198433333324</v>
      </c>
      <c r="G4" s="1">
        <v>68755.198433333324</v>
      </c>
      <c r="H4">
        <f t="shared" si="0"/>
        <v>3.7674081371007417E-2</v>
      </c>
    </row>
    <row r="5" spans="1:8" x14ac:dyDescent="0.25">
      <c r="A5" s="1" t="s">
        <v>47</v>
      </c>
      <c r="B5" t="s">
        <v>12</v>
      </c>
      <c r="C5" s="1">
        <v>1.2224767000000001</v>
      </c>
      <c r="D5" s="1">
        <v>19.789449999999999</v>
      </c>
      <c r="E5" t="s">
        <v>17</v>
      </c>
      <c r="F5" s="1">
        <v>68755.198433333324</v>
      </c>
      <c r="G5" s="1">
        <v>68755.198433333324</v>
      </c>
      <c r="H5">
        <f t="shared" si="0"/>
        <v>3.7674081371007417E-2</v>
      </c>
    </row>
    <row r="6" spans="1:8" x14ac:dyDescent="0.25">
      <c r="A6" s="1" t="s">
        <v>69</v>
      </c>
      <c r="B6" t="s">
        <v>12</v>
      </c>
      <c r="C6" s="1">
        <v>1.0065583</v>
      </c>
      <c r="D6" s="1">
        <v>20.192969999999999</v>
      </c>
      <c r="E6" t="s">
        <v>17</v>
      </c>
      <c r="F6" s="1">
        <v>68755.198433333324</v>
      </c>
      <c r="G6" s="1">
        <v>68755.198433333324</v>
      </c>
      <c r="H6">
        <f t="shared" si="0"/>
        <v>3.7674081371007417E-2</v>
      </c>
    </row>
    <row r="7" spans="1:8" x14ac:dyDescent="0.25">
      <c r="A7" s="1" t="s">
        <v>41</v>
      </c>
      <c r="B7" t="s">
        <v>12</v>
      </c>
      <c r="C7" s="1">
        <v>-0.69606670000000004</v>
      </c>
      <c r="D7" s="1">
        <v>18.267555000000002</v>
      </c>
      <c r="E7" t="s">
        <v>18</v>
      </c>
      <c r="F7" s="1">
        <v>41000.310083333337</v>
      </c>
      <c r="G7" s="1">
        <v>41000.310083333337</v>
      </c>
      <c r="H7">
        <f t="shared" si="0"/>
        <v>2.2465923355799264E-2</v>
      </c>
    </row>
    <row r="8" spans="1:8" x14ac:dyDescent="0.25">
      <c r="A8" s="1" t="s">
        <v>43</v>
      </c>
      <c r="B8" t="s">
        <v>12</v>
      </c>
      <c r="C8" s="1">
        <v>-0.71287670000000003</v>
      </c>
      <c r="D8" s="1">
        <v>17.865138300000002</v>
      </c>
      <c r="E8" t="s">
        <v>18</v>
      </c>
      <c r="F8" s="1">
        <v>41000.310083333337</v>
      </c>
      <c r="G8" s="1">
        <v>41000.310083333337</v>
      </c>
      <c r="H8">
        <f t="shared" si="0"/>
        <v>2.2465923355799264E-2</v>
      </c>
    </row>
    <row r="9" spans="1:8" x14ac:dyDescent="0.25">
      <c r="A9" s="1" t="s">
        <v>46</v>
      </c>
      <c r="B9" t="s">
        <v>12</v>
      </c>
      <c r="C9" s="1">
        <v>-0.28829830000000001</v>
      </c>
      <c r="D9" s="1">
        <v>18.2235683</v>
      </c>
      <c r="E9" t="s">
        <v>18</v>
      </c>
      <c r="F9" s="1">
        <v>41000.310083333337</v>
      </c>
      <c r="G9" s="1">
        <v>41000.310083333337</v>
      </c>
      <c r="H9">
        <f t="shared" si="0"/>
        <v>2.2465923355799264E-2</v>
      </c>
    </row>
    <row r="10" spans="1:8" x14ac:dyDescent="0.25">
      <c r="A10" s="1" t="s">
        <v>34</v>
      </c>
      <c r="B10" t="s">
        <v>12</v>
      </c>
      <c r="C10" s="1">
        <v>-6.1499999999999999E-4</v>
      </c>
      <c r="D10" s="1">
        <v>18.217569999999998</v>
      </c>
      <c r="E10" t="s">
        <v>33</v>
      </c>
      <c r="F10" s="1">
        <v>34268.3471125</v>
      </c>
      <c r="G10" s="1">
        <v>34268.3471125</v>
      </c>
      <c r="H10">
        <f t="shared" si="0"/>
        <v>1.8777176518777181E-2</v>
      </c>
    </row>
    <row r="11" spans="1:8" x14ac:dyDescent="0.25">
      <c r="A11" s="1" t="s">
        <v>52</v>
      </c>
      <c r="B11" t="s">
        <v>12</v>
      </c>
      <c r="C11" s="1">
        <v>-0.132994</v>
      </c>
      <c r="D11" s="1">
        <v>18.278957699999999</v>
      </c>
      <c r="E11" t="s">
        <v>33</v>
      </c>
      <c r="F11" s="1">
        <v>34268.3471125</v>
      </c>
      <c r="G11" s="1">
        <v>34268.3471125</v>
      </c>
      <c r="H11">
        <f t="shared" si="0"/>
        <v>1.8777176518777181E-2</v>
      </c>
    </row>
    <row r="12" spans="1:8" x14ac:dyDescent="0.25">
      <c r="A12" s="1" t="s">
        <v>39</v>
      </c>
      <c r="B12" t="s">
        <v>12</v>
      </c>
      <c r="C12" s="1">
        <v>3.5286699999999997E-2</v>
      </c>
      <c r="D12" s="1">
        <v>19.286788300000001</v>
      </c>
      <c r="E12" t="s">
        <v>19</v>
      </c>
      <c r="F12" s="1">
        <v>44225.468455000009</v>
      </c>
      <c r="G12" s="1">
        <v>44225.468455000009</v>
      </c>
      <c r="H12">
        <f t="shared" si="0"/>
        <v>2.4233133424233142E-2</v>
      </c>
    </row>
    <row r="13" spans="1:8" x14ac:dyDescent="0.25">
      <c r="A13" s="1" t="s">
        <v>34</v>
      </c>
      <c r="B13" t="s">
        <v>12</v>
      </c>
      <c r="C13" s="1">
        <v>7.2531700000000005E-2</v>
      </c>
      <c r="D13" s="1">
        <v>18.843871700000001</v>
      </c>
      <c r="E13" t="s">
        <v>19</v>
      </c>
      <c r="F13" s="1">
        <v>44225.468455000009</v>
      </c>
      <c r="G13" s="1">
        <v>44225.468455000009</v>
      </c>
      <c r="H13">
        <f t="shared" si="0"/>
        <v>2.4233133424233142E-2</v>
      </c>
    </row>
    <row r="14" spans="1:8" x14ac:dyDescent="0.25">
      <c r="A14" s="1" t="s">
        <v>53</v>
      </c>
      <c r="B14" t="s">
        <v>12</v>
      </c>
      <c r="C14" s="1">
        <v>0.48443000000000003</v>
      </c>
      <c r="D14" s="1">
        <v>19.246960000000001</v>
      </c>
      <c r="E14" t="s">
        <v>19</v>
      </c>
      <c r="F14" s="1">
        <v>44225.468455000009</v>
      </c>
      <c r="G14" s="1">
        <v>44225.468455000009</v>
      </c>
      <c r="H14">
        <f t="shared" si="0"/>
        <v>2.4233133424233142E-2</v>
      </c>
    </row>
    <row r="15" spans="1:8" x14ac:dyDescent="0.25">
      <c r="A15" s="1" t="s">
        <v>59</v>
      </c>
      <c r="B15" t="s">
        <v>12</v>
      </c>
      <c r="C15" s="1">
        <v>1.054095</v>
      </c>
      <c r="D15" s="1">
        <v>19.290103299999998</v>
      </c>
      <c r="E15" t="s">
        <v>19</v>
      </c>
      <c r="F15" s="1">
        <v>44225.468455000009</v>
      </c>
      <c r="G15" s="1">
        <v>44225.468455000009</v>
      </c>
      <c r="H15">
        <f t="shared" si="0"/>
        <v>2.4233133424233142E-2</v>
      </c>
    </row>
    <row r="16" spans="1:8" x14ac:dyDescent="0.25">
      <c r="A16" s="1" t="s">
        <v>67</v>
      </c>
      <c r="B16" t="s">
        <v>12</v>
      </c>
      <c r="C16" s="1">
        <v>0.30522329999999998</v>
      </c>
      <c r="D16" s="1">
        <v>18.536603299999999</v>
      </c>
      <c r="E16" t="s">
        <v>19</v>
      </c>
      <c r="F16" s="1">
        <v>44225.468455000009</v>
      </c>
      <c r="G16" s="1">
        <v>44225.468455000009</v>
      </c>
      <c r="H16">
        <f t="shared" si="0"/>
        <v>2.4233133424233142E-2</v>
      </c>
    </row>
    <row r="17" spans="1:8" x14ac:dyDescent="0.25">
      <c r="A17" s="1" t="s">
        <v>55</v>
      </c>
      <c r="B17" t="s">
        <v>12</v>
      </c>
      <c r="C17" s="1">
        <v>1.4394283329999999</v>
      </c>
      <c r="D17" s="1">
        <v>18.038969999999999</v>
      </c>
      <c r="E17" t="s">
        <v>20</v>
      </c>
      <c r="F17" s="1">
        <v>44053.698725000002</v>
      </c>
      <c r="G17" s="1">
        <v>44053.698725000002</v>
      </c>
      <c r="H17">
        <f t="shared" si="0"/>
        <v>2.4139013024139018E-2</v>
      </c>
    </row>
    <row r="18" spans="1:8" x14ac:dyDescent="0.25">
      <c r="A18" s="1" t="s">
        <v>58</v>
      </c>
      <c r="B18" t="s">
        <v>12</v>
      </c>
      <c r="C18" s="1">
        <v>1.4506867000000001</v>
      </c>
      <c r="D18" s="1">
        <v>18.393948300000002</v>
      </c>
      <c r="E18" t="s">
        <v>20</v>
      </c>
      <c r="F18" s="1">
        <v>44053.698725000002</v>
      </c>
      <c r="G18" s="1">
        <v>44053.698725000002</v>
      </c>
      <c r="H18">
        <f t="shared" si="0"/>
        <v>2.4139013024139018E-2</v>
      </c>
    </row>
    <row r="19" spans="1:8" x14ac:dyDescent="0.25">
      <c r="A19" s="1" t="s">
        <v>36</v>
      </c>
      <c r="B19" t="s">
        <v>12</v>
      </c>
      <c r="C19" s="1">
        <v>1.429296667</v>
      </c>
      <c r="D19" s="1">
        <v>20.462073332999999</v>
      </c>
      <c r="E19" t="s">
        <v>21</v>
      </c>
      <c r="F19" s="1">
        <v>92383.804974999992</v>
      </c>
      <c r="G19" s="1">
        <v>92383.804974999992</v>
      </c>
      <c r="H19">
        <f t="shared" si="0"/>
        <v>5.0621263050621271E-2</v>
      </c>
    </row>
    <row r="20" spans="1:8" x14ac:dyDescent="0.25">
      <c r="A20" s="1" t="s">
        <v>64</v>
      </c>
      <c r="B20" t="s">
        <v>12</v>
      </c>
      <c r="C20" s="1">
        <v>-0.92937999999999998</v>
      </c>
      <c r="D20" s="1">
        <v>18.616076700000001</v>
      </c>
      <c r="E20" t="s">
        <v>22</v>
      </c>
      <c r="F20" s="1">
        <v>82515.513500000001</v>
      </c>
      <c r="G20" s="1">
        <v>82515.513500000001</v>
      </c>
      <c r="H20">
        <f t="shared" si="0"/>
        <v>4.5213980045213993E-2</v>
      </c>
    </row>
    <row r="21" spans="1:8" x14ac:dyDescent="0.25">
      <c r="A21" s="1" t="s">
        <v>48</v>
      </c>
      <c r="B21" t="s">
        <v>12</v>
      </c>
      <c r="C21" s="1">
        <v>-0.52747500000000003</v>
      </c>
      <c r="D21" s="1">
        <v>18.6058983</v>
      </c>
      <c r="E21" t="s">
        <v>23</v>
      </c>
      <c r="F21" s="1">
        <v>60811.958325000014</v>
      </c>
      <c r="G21" s="1">
        <v>60811.958325000014</v>
      </c>
      <c r="H21">
        <f t="shared" si="0"/>
        <v>3.3321621033321633E-2</v>
      </c>
    </row>
    <row r="22" spans="1:8" x14ac:dyDescent="0.25">
      <c r="A22" t="s">
        <v>65</v>
      </c>
      <c r="B22" t="s">
        <v>12</v>
      </c>
      <c r="C22">
        <v>-0.51719669999999995</v>
      </c>
      <c r="D22">
        <v>18.993763300000001</v>
      </c>
      <c r="E22" t="s">
        <v>23</v>
      </c>
      <c r="F22" s="1">
        <v>60811.958325000014</v>
      </c>
      <c r="G22" s="1">
        <v>60811.958325000014</v>
      </c>
      <c r="H22">
        <f t="shared" si="0"/>
        <v>3.3321621033321633E-2</v>
      </c>
    </row>
    <row r="23" spans="1:8" x14ac:dyDescent="0.25">
      <c r="A23" t="s">
        <v>37</v>
      </c>
      <c r="B23" t="s">
        <v>12</v>
      </c>
      <c r="C23">
        <v>-0.64078829999999998</v>
      </c>
      <c r="D23">
        <v>17.702921700000001</v>
      </c>
      <c r="E23" t="s">
        <v>24</v>
      </c>
      <c r="F23" s="1">
        <v>14525.9661375</v>
      </c>
      <c r="G23" s="1">
        <v>14525.9661375</v>
      </c>
      <c r="H23">
        <f t="shared" si="0"/>
        <v>7.9594335079594351E-3</v>
      </c>
    </row>
    <row r="24" spans="1:8" x14ac:dyDescent="0.25">
      <c r="A24" t="s">
        <v>11</v>
      </c>
      <c r="B24" t="s">
        <v>12</v>
      </c>
      <c r="C24">
        <v>-0.83704060000000002</v>
      </c>
      <c r="D24">
        <v>17.510778500000001</v>
      </c>
      <c r="E24" t="s">
        <v>24</v>
      </c>
      <c r="F24" s="1">
        <v>14525.9661375</v>
      </c>
      <c r="G24" s="1">
        <v>14525.9661375</v>
      </c>
      <c r="H24">
        <f t="shared" si="0"/>
        <v>7.9594335079594351E-3</v>
      </c>
    </row>
    <row r="25" spans="1:8" x14ac:dyDescent="0.25">
      <c r="A25" t="s">
        <v>49</v>
      </c>
      <c r="B25" t="s">
        <v>12</v>
      </c>
      <c r="C25">
        <v>0.50983690000000004</v>
      </c>
      <c r="D25">
        <v>18.291140299999999</v>
      </c>
      <c r="E25" t="s">
        <v>25</v>
      </c>
      <c r="F25" s="1">
        <v>16529.278218750002</v>
      </c>
      <c r="G25" s="1">
        <v>16529.278218750002</v>
      </c>
      <c r="H25">
        <f t="shared" si="0"/>
        <v>9.0571387590571411E-3</v>
      </c>
    </row>
    <row r="26" spans="1:8" x14ac:dyDescent="0.25">
      <c r="A26" t="s">
        <v>57</v>
      </c>
      <c r="B26" t="s">
        <v>12</v>
      </c>
      <c r="C26">
        <v>-8.2076800000000005E-2</v>
      </c>
      <c r="D26">
        <v>18.089138699999999</v>
      </c>
      <c r="E26" t="s">
        <v>25</v>
      </c>
      <c r="F26" s="1">
        <v>16529.278218750002</v>
      </c>
      <c r="G26" s="1">
        <v>16529.278218750002</v>
      </c>
      <c r="H26">
        <f t="shared" si="0"/>
        <v>9.0571387590571411E-3</v>
      </c>
    </row>
    <row r="27" spans="1:8" x14ac:dyDescent="0.25">
      <c r="A27" t="s">
        <v>63</v>
      </c>
      <c r="B27" t="s">
        <v>12</v>
      </c>
      <c r="C27">
        <v>0.77745819999999999</v>
      </c>
      <c r="D27">
        <v>18.332442400000001</v>
      </c>
      <c r="E27" t="s">
        <v>25</v>
      </c>
      <c r="F27" s="1">
        <v>16529.278218750002</v>
      </c>
      <c r="G27" s="1">
        <v>16529.278218750002</v>
      </c>
      <c r="H27">
        <f t="shared" si="0"/>
        <v>9.0571387590571411E-3</v>
      </c>
    </row>
    <row r="28" spans="1:8" x14ac:dyDescent="0.25">
      <c r="A28" t="s">
        <v>68</v>
      </c>
      <c r="B28" t="s">
        <v>12</v>
      </c>
      <c r="C28">
        <v>-0.27843449999999997</v>
      </c>
      <c r="D28">
        <v>17.9063135</v>
      </c>
      <c r="E28" t="s">
        <v>25</v>
      </c>
      <c r="F28" s="1">
        <v>16529.278218750002</v>
      </c>
      <c r="G28" s="1">
        <v>16529.278218750002</v>
      </c>
      <c r="H28">
        <f t="shared" si="0"/>
        <v>9.0571387590571411E-3</v>
      </c>
    </row>
    <row r="29" spans="1:8" x14ac:dyDescent="0.25">
      <c r="A29" t="s">
        <v>44</v>
      </c>
      <c r="B29" t="s">
        <v>12</v>
      </c>
      <c r="C29">
        <v>0.86187670000000005</v>
      </c>
      <c r="D29">
        <v>18.674713300000001</v>
      </c>
      <c r="E29" t="s">
        <v>26</v>
      </c>
      <c r="F29" s="1">
        <v>36960.835312499999</v>
      </c>
      <c r="G29" s="1">
        <v>36960.835312499999</v>
      </c>
      <c r="H29">
        <f t="shared" si="0"/>
        <v>2.0252512520252515E-2</v>
      </c>
    </row>
    <row r="30" spans="1:8" x14ac:dyDescent="0.25">
      <c r="A30" t="s">
        <v>70</v>
      </c>
      <c r="B30" t="s">
        <v>12</v>
      </c>
      <c r="C30">
        <v>0.83048330000000004</v>
      </c>
      <c r="D30">
        <v>18.874023300000001</v>
      </c>
      <c r="E30" t="s">
        <v>26</v>
      </c>
      <c r="F30" s="1">
        <v>36960.835312499999</v>
      </c>
      <c r="G30" s="1">
        <v>36960.835312499999</v>
      </c>
      <c r="H30">
        <f t="shared" si="0"/>
        <v>2.0252512520252515E-2</v>
      </c>
    </row>
    <row r="31" spans="1:8" x14ac:dyDescent="0.25">
      <c r="A31" t="s">
        <v>42</v>
      </c>
      <c r="B31" t="s">
        <v>12</v>
      </c>
      <c r="C31">
        <v>-0.92481780000000002</v>
      </c>
      <c r="D31">
        <v>19.963625100000002</v>
      </c>
      <c r="E31" t="s">
        <v>27</v>
      </c>
      <c r="F31" s="1">
        <v>43149.810899999997</v>
      </c>
      <c r="G31" s="1">
        <v>43149.810899999997</v>
      </c>
      <c r="H31">
        <f t="shared" si="0"/>
        <v>2.3643732023643737E-2</v>
      </c>
    </row>
    <row r="32" spans="1:8" x14ac:dyDescent="0.25">
      <c r="A32" t="s">
        <v>10</v>
      </c>
      <c r="B32" t="s">
        <v>12</v>
      </c>
      <c r="C32">
        <v>-0.52240330000000001</v>
      </c>
      <c r="D32">
        <v>19.4239067</v>
      </c>
      <c r="E32" t="s">
        <v>27</v>
      </c>
      <c r="F32" s="1">
        <v>43149.810899999997</v>
      </c>
      <c r="G32" s="1">
        <v>43149.810899999997</v>
      </c>
      <c r="H32">
        <f t="shared" si="0"/>
        <v>2.3643732023643737E-2</v>
      </c>
    </row>
    <row r="33" spans="1:8" x14ac:dyDescent="0.25">
      <c r="A33" t="s">
        <v>40</v>
      </c>
      <c r="B33" t="s">
        <v>12</v>
      </c>
      <c r="C33">
        <v>-1.0625382999999999</v>
      </c>
      <c r="D33">
        <v>17.167231699999999</v>
      </c>
      <c r="E33" t="s">
        <v>28</v>
      </c>
      <c r="F33" s="1">
        <v>57284.2561375</v>
      </c>
      <c r="G33" s="1">
        <v>57284.2561375</v>
      </c>
      <c r="H33">
        <f t="shared" si="0"/>
        <v>3.1388633531388641E-2</v>
      </c>
    </row>
    <row r="34" spans="1:8" x14ac:dyDescent="0.25">
      <c r="A34" t="s">
        <v>45</v>
      </c>
      <c r="B34" t="s">
        <v>12</v>
      </c>
      <c r="C34">
        <v>-1.6064000000000001</v>
      </c>
      <c r="D34">
        <v>17.036096700000002</v>
      </c>
      <c r="E34" t="s">
        <v>28</v>
      </c>
      <c r="F34" s="1">
        <v>57284.2561375</v>
      </c>
      <c r="G34" s="1">
        <v>57284.2561375</v>
      </c>
      <c r="H34">
        <f t="shared" si="0"/>
        <v>3.1388633531388641E-2</v>
      </c>
    </row>
    <row r="35" spans="1:8" x14ac:dyDescent="0.25">
      <c r="A35" t="s">
        <v>50</v>
      </c>
      <c r="B35" t="s">
        <v>12</v>
      </c>
      <c r="C35">
        <v>1.3631783</v>
      </c>
      <c r="D35">
        <v>18.910348299999999</v>
      </c>
      <c r="E35" t="s">
        <v>29</v>
      </c>
      <c r="F35" s="1">
        <v>24522.015368750002</v>
      </c>
      <c r="G35" s="1">
        <v>24522.015368750002</v>
      </c>
      <c r="H35">
        <f t="shared" si="0"/>
        <v>1.3436720763436725E-2</v>
      </c>
    </row>
    <row r="36" spans="1:8" x14ac:dyDescent="0.25">
      <c r="A36" t="s">
        <v>60</v>
      </c>
      <c r="B36" t="s">
        <v>12</v>
      </c>
      <c r="C36">
        <v>1.61785</v>
      </c>
      <c r="D36">
        <v>19.115331699999999</v>
      </c>
      <c r="E36" t="s">
        <v>29</v>
      </c>
      <c r="F36" s="1">
        <v>24522.015368750002</v>
      </c>
      <c r="G36" s="1">
        <v>24522.015368750002</v>
      </c>
      <c r="H36">
        <f t="shared" si="0"/>
        <v>1.3436720763436725E-2</v>
      </c>
    </row>
    <row r="37" spans="1:8" x14ac:dyDescent="0.25">
      <c r="A37" t="s">
        <v>61</v>
      </c>
      <c r="B37" t="s">
        <v>12</v>
      </c>
      <c r="C37">
        <v>1.052738</v>
      </c>
      <c r="D37">
        <v>18.450583900000002</v>
      </c>
      <c r="E37" t="s">
        <v>29</v>
      </c>
      <c r="F37" s="1">
        <v>24522.015368750002</v>
      </c>
      <c r="G37" s="1">
        <v>24522.015368750002</v>
      </c>
      <c r="H37">
        <f t="shared" si="0"/>
        <v>1.3436720763436725E-2</v>
      </c>
    </row>
    <row r="38" spans="1:8" x14ac:dyDescent="0.25">
      <c r="A38" t="s">
        <v>62</v>
      </c>
      <c r="B38" t="s">
        <v>12</v>
      </c>
      <c r="C38">
        <v>1.8413383000000001</v>
      </c>
      <c r="D38">
        <v>19.562101699999999</v>
      </c>
      <c r="E38" t="s">
        <v>29</v>
      </c>
      <c r="F38" s="1">
        <v>24522.015368750002</v>
      </c>
      <c r="G38" s="1">
        <v>24522.015368750002</v>
      </c>
      <c r="H38">
        <f t="shared" si="0"/>
        <v>1.3436720763436725E-2</v>
      </c>
    </row>
    <row r="39" spans="1:8" x14ac:dyDescent="0.25">
      <c r="A39" t="s">
        <v>51</v>
      </c>
      <c r="B39" t="s">
        <v>12</v>
      </c>
      <c r="C39">
        <v>0.1700538</v>
      </c>
      <c r="D39">
        <v>19.9345809</v>
      </c>
      <c r="E39" t="s">
        <v>30</v>
      </c>
      <c r="F39" s="1">
        <v>65146.784099999997</v>
      </c>
      <c r="G39" s="1">
        <v>65146.784099999997</v>
      </c>
      <c r="H39">
        <f t="shared" si="0"/>
        <v>3.5696868035696876E-2</v>
      </c>
    </row>
    <row r="40" spans="1:8" x14ac:dyDescent="0.25">
      <c r="A40" t="s">
        <v>56</v>
      </c>
      <c r="B40" t="s">
        <v>12</v>
      </c>
      <c r="C40">
        <v>-0.97267999999999999</v>
      </c>
      <c r="D40">
        <v>18.132546699999999</v>
      </c>
      <c r="E40" t="s">
        <v>31</v>
      </c>
      <c r="F40" s="1">
        <v>52558.355675000006</v>
      </c>
      <c r="G40" s="1">
        <v>52558.355675000006</v>
      </c>
      <c r="H40">
        <f t="shared" si="0"/>
        <v>2.8799099028799107E-2</v>
      </c>
    </row>
    <row r="41" spans="1:8" x14ac:dyDescent="0.25">
      <c r="A41" t="s">
        <v>38</v>
      </c>
      <c r="B41" t="s">
        <v>12</v>
      </c>
      <c r="C41">
        <v>4.1486599999999998E-2</v>
      </c>
      <c r="D41">
        <v>18.239670499999999</v>
      </c>
      <c r="E41" t="s">
        <v>32</v>
      </c>
      <c r="F41" s="1">
        <v>119644.90854999999</v>
      </c>
      <c r="G41" s="1">
        <v>119644.90854999999</v>
      </c>
      <c r="H41">
        <f t="shared" si="0"/>
        <v>6.5558854065558864E-2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NationalOffice</vt:lpstr>
      <vt:lpstr>ProvincialPublicHealth</vt:lpstr>
      <vt:lpstr>DistrictHealthOffice</vt:lpstr>
      <vt:lpstr>Puskesmas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Farshid Babaei</cp:lastModifiedBy>
  <dcterms:created xsi:type="dcterms:W3CDTF">2025-06-06T15:04:22Z</dcterms:created>
  <dcterms:modified xsi:type="dcterms:W3CDTF">2026-04-29T15:59:29Z</dcterms:modified>
</cp:coreProperties>
</file>