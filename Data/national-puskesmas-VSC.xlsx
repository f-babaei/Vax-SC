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c1fb\Models\Vax SC\Data\"/>
    </mc:Choice>
  </mc:AlternateContent>
  <xr:revisionPtr revIDLastSave="0" documentId="13_ncr:1_{97917454-86B0-44A7-B611-6211CBC78A71}" xr6:coauthVersionLast="47" xr6:coauthVersionMax="47" xr10:uidLastSave="{00000000-0000-0000-0000-000000000000}"/>
  <bookViews>
    <workbookView xWindow="-120" yWindow="-120" windowWidth="29040" windowHeight="15225" activeTab="3" xr2:uid="{FA23C16F-3C1C-4E68-AD36-4215747A6BE9}"/>
  </bookViews>
  <sheets>
    <sheet name="NationalOffice" sheetId="1" r:id="rId1"/>
    <sheet name="ProvincialPublicHealth" sheetId="2" r:id="rId2"/>
    <sheet name="DistrictHealthOffice" sheetId="4" r:id="rId3"/>
    <sheet name="Puskesma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" i="4"/>
  <c r="E5" i="3"/>
  <c r="E4" i="3"/>
  <c r="E3" i="3"/>
  <c r="E2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F2" i="2" l="1"/>
  <c r="E2" i="1" s="1"/>
</calcChain>
</file>

<file path=xl/sharedStrings.xml><?xml version="1.0" encoding="utf-8"?>
<sst xmlns="http://schemas.openxmlformats.org/spreadsheetml/2006/main" count="119" uniqueCount="50">
  <si>
    <t>Name</t>
  </si>
  <si>
    <t>Latitude</t>
  </si>
  <si>
    <t>Longitude</t>
  </si>
  <si>
    <t>Warehouse</t>
  </si>
  <si>
    <t>Province</t>
  </si>
  <si>
    <t>Type</t>
  </si>
  <si>
    <t>Provincial Health Office</t>
  </si>
  <si>
    <t>Upstream Connection</t>
  </si>
  <si>
    <t>Annual Demand</t>
  </si>
  <si>
    <t>Initial Demand</t>
  </si>
  <si>
    <t>Mbandaka</t>
  </si>
  <si>
    <t>Basankusu</t>
  </si>
  <si>
    <t>Bikoro</t>
  </si>
  <si>
    <t>Bolomba</t>
  </si>
  <si>
    <t>Bomongo</t>
  </si>
  <si>
    <t>Djombo</t>
  </si>
  <si>
    <t>Iboko</t>
  </si>
  <si>
    <t>Ingende</t>
  </si>
  <si>
    <t>Irebu</t>
  </si>
  <si>
    <t>Lilanga Bobangi</t>
  </si>
  <si>
    <t>Lolanga Mampoko</t>
  </si>
  <si>
    <t>Lotumbe</t>
  </si>
  <si>
    <t>Lukolela</t>
  </si>
  <si>
    <t>Makanza</t>
  </si>
  <si>
    <t>Monieka</t>
  </si>
  <si>
    <t>Ntondo</t>
  </si>
  <si>
    <t>Wangata</t>
  </si>
  <si>
    <t>Equateur</t>
  </si>
  <si>
    <t>Health Zone</t>
  </si>
  <si>
    <t>PHOEquateur</t>
  </si>
  <si>
    <t>Supplier</t>
  </si>
  <si>
    <t>HZMbandaka</t>
  </si>
  <si>
    <t>HZBasankusu</t>
  </si>
  <si>
    <t>HZBikoro</t>
  </si>
  <si>
    <t>HZBolomba</t>
  </si>
  <si>
    <t>HZBomongo</t>
  </si>
  <si>
    <t>HZDjombo</t>
  </si>
  <si>
    <t>HZIboko</t>
  </si>
  <si>
    <t>HZIngende</t>
  </si>
  <si>
    <t>HZIrebu</t>
  </si>
  <si>
    <t>HZLilanga Bobangi</t>
  </si>
  <si>
    <t>HZLolanga Mampoko</t>
  </si>
  <si>
    <t>HZLotumbe</t>
  </si>
  <si>
    <t>HZLukolela</t>
  </si>
  <si>
    <t>HZMakanza</t>
  </si>
  <si>
    <t>HZMonieka</t>
  </si>
  <si>
    <t>HZNtondo</t>
  </si>
  <si>
    <t>HZWangata</t>
  </si>
  <si>
    <t>HZBolenge</t>
  </si>
  <si>
    <t>Bolenge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</si>
</sst>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E70DF-A7F5-4EBA-9A4E-6625684456F1}">
  <dimension ref="A1:E2"/>
  <sheetViews>
    <sheetView workbookViewId="0">
      <selection activeCell="C3" sqref="C3"/>
    </sheetView>
  </sheetViews>
  <sheetFormatPr defaultRowHeight="15" x14ac:dyDescent="0.25"/>
  <cols>
    <col min="1" max="1" width="10" bestFit="1" customWidth="1"/>
    <col min="2" max="2" width="11" bestFit="1" customWidth="1"/>
  </cols>
  <sheetData>
    <row r="1" spans="1:5" x14ac:dyDescent="0.25">
      <c r="A1" t="s">
        <v>0</v>
      </c>
      <c r="B1" t="s">
        <v>5</v>
      </c>
      <c r="C1" t="s">
        <v>1</v>
      </c>
      <c r="D1" t="s">
        <v>2</v>
      </c>
      <c r="E1" t="s">
        <v>9</v>
      </c>
    </row>
    <row r="2" spans="1:5" x14ac:dyDescent="0.25">
      <c r="A2" t="s">
        <v>30</v>
      </c>
      <c r="B2" t="s">
        <v>3</v>
      </c>
      <c r="C2" s="1">
        <v>4.5199999999999997E-2</v>
      </c>
      <c r="D2" s="1">
        <v>18.264500000000002</v>
      </c>
      <c r="E2">
        <f>SUM(ProvincialPublicHealth!F2:F4)</f>
        <v>1889761.5028750007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85C89-820F-4524-AF6D-187344255E48}">
  <dimension ref="A1:F2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2" max="2" width="22" customWidth="1"/>
    <col min="5" max="5" width="20.28515625" bestFit="1" customWidth="1"/>
  </cols>
  <sheetData>
    <row r="1" spans="1:6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6" x14ac:dyDescent="0.25">
      <c r="A2" t="s">
        <v>29</v>
      </c>
      <c r="B2" t="s">
        <v>6</v>
      </c>
      <c r="C2" s="1">
        <v>4.5199999999999997E-2</v>
      </c>
      <c r="D2" s="1">
        <v>18.264500000000002</v>
      </c>
      <c r="E2" t="s">
        <v>30</v>
      </c>
      <c r="F2">
        <f>SUM(DistrictHealthOffice!F2:F19)</f>
        <v>1889761.5028750007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374B-C969-4E87-BEE9-45241CCB8CDB}">
  <dimension ref="A1:G19"/>
  <sheetViews>
    <sheetView workbookViewId="0">
      <selection activeCell="F2" sqref="F2"/>
    </sheetView>
  </sheetViews>
  <sheetFormatPr defaultRowHeight="15" x14ac:dyDescent="0.25"/>
  <cols>
    <col min="1" max="1" width="19" bestFit="1" customWidth="1"/>
    <col min="2" max="2" width="22" customWidth="1"/>
    <col min="5" max="5" width="20.42578125" bestFit="1" customWidth="1"/>
    <col min="6" max="6" width="14.140625" bestFit="1" customWidth="1"/>
  </cols>
  <sheetData>
    <row r="1" spans="1:7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7" x14ac:dyDescent="0.25">
      <c r="A2" s="1" t="s">
        <v>31</v>
      </c>
      <c r="B2" t="s">
        <v>28</v>
      </c>
      <c r="C2" s="1">
        <v>4.5199999999999997E-2</v>
      </c>
      <c r="D2" s="1">
        <v>18.264500000000002</v>
      </c>
      <c r="E2" t="s">
        <v>29</v>
      </c>
      <c r="F2" s="1">
        <f>Puskesmas!G2</f>
        <v>116041.84390000002</v>
      </c>
      <c r="G2" s="1"/>
    </row>
    <row r="3" spans="1:7" x14ac:dyDescent="0.25">
      <c r="A3" s="1" t="s">
        <v>32</v>
      </c>
      <c r="B3" t="s">
        <v>28</v>
      </c>
      <c r="C3" s="1">
        <v>1.2185999999999999</v>
      </c>
      <c r="D3" s="1">
        <v>19.7912</v>
      </c>
      <c r="E3" t="s">
        <v>29</v>
      </c>
      <c r="F3" s="1">
        <f>Puskesmas!G3</f>
        <v>206265.59529999999</v>
      </c>
      <c r="G3" s="1"/>
    </row>
    <row r="4" spans="1:7" x14ac:dyDescent="0.25">
      <c r="A4" s="1" t="s">
        <v>33</v>
      </c>
      <c r="B4" t="s">
        <v>28</v>
      </c>
      <c r="C4" s="1">
        <v>-0.72570000000000001</v>
      </c>
      <c r="D4" s="1">
        <v>18.124600000000001</v>
      </c>
      <c r="E4" t="s">
        <v>29</v>
      </c>
      <c r="F4" s="1">
        <f>Puskesmas!G4</f>
        <v>123000.93025</v>
      </c>
      <c r="G4" s="1"/>
    </row>
    <row r="5" spans="1:7" x14ac:dyDescent="0.25">
      <c r="A5" s="1" t="s">
        <v>48</v>
      </c>
      <c r="B5" t="s">
        <v>28</v>
      </c>
      <c r="C5" s="1">
        <v>1.8699999999999999E-3</v>
      </c>
      <c r="D5" s="1">
        <v>18.210999999999999</v>
      </c>
      <c r="E5" t="s">
        <v>29</v>
      </c>
      <c r="F5" s="1">
        <f>Puskesmas!G5</f>
        <v>133298.198925</v>
      </c>
      <c r="G5" s="1"/>
    </row>
    <row r="6" spans="1:7" x14ac:dyDescent="0.25">
      <c r="A6" s="1" t="s">
        <v>34</v>
      </c>
      <c r="B6" t="s">
        <v>28</v>
      </c>
      <c r="C6" s="1">
        <v>0.35349999999999998</v>
      </c>
      <c r="D6" s="1">
        <v>19.222999999999999</v>
      </c>
      <c r="E6" t="s">
        <v>29</v>
      </c>
      <c r="F6" s="1">
        <f>Puskesmas!G6</f>
        <v>221127.34227500003</v>
      </c>
      <c r="G6" s="1"/>
    </row>
    <row r="7" spans="1:7" x14ac:dyDescent="0.25">
      <c r="A7" s="1" t="s">
        <v>35</v>
      </c>
      <c r="B7" t="s">
        <v>28</v>
      </c>
      <c r="C7" s="1">
        <v>1.38</v>
      </c>
      <c r="D7" s="1">
        <v>18.3506</v>
      </c>
      <c r="E7" t="s">
        <v>29</v>
      </c>
      <c r="F7" s="1">
        <f>Puskesmas!G7</f>
        <v>88107.397450000004</v>
      </c>
      <c r="G7" s="1"/>
    </row>
    <row r="8" spans="1:7" x14ac:dyDescent="0.25">
      <c r="A8" s="1" t="s">
        <v>36</v>
      </c>
      <c r="B8" t="s">
        <v>28</v>
      </c>
      <c r="C8" s="1">
        <v>1.3486</v>
      </c>
      <c r="D8" s="1">
        <v>20.382899999999999</v>
      </c>
      <c r="E8" t="s">
        <v>29</v>
      </c>
      <c r="F8" s="1">
        <f>Puskesmas!G8</f>
        <v>92383.804974999992</v>
      </c>
      <c r="G8" s="1"/>
    </row>
    <row r="9" spans="1:7" x14ac:dyDescent="0.25">
      <c r="A9" s="1" t="s">
        <v>37</v>
      </c>
      <c r="B9" t="s">
        <v>28</v>
      </c>
      <c r="C9" s="1">
        <v>-1.1132</v>
      </c>
      <c r="D9" s="1">
        <v>18.5334</v>
      </c>
      <c r="E9" t="s">
        <v>29</v>
      </c>
      <c r="F9" s="1">
        <f>Puskesmas!G9</f>
        <v>82515.513500000001</v>
      </c>
      <c r="G9" s="1"/>
    </row>
    <row r="10" spans="1:7" x14ac:dyDescent="0.25">
      <c r="A10" s="1" t="s">
        <v>38</v>
      </c>
      <c r="B10" t="s">
        <v>28</v>
      </c>
      <c r="C10" s="1">
        <v>-0.30859999999999999</v>
      </c>
      <c r="D10" s="1">
        <v>18.965199999999999</v>
      </c>
      <c r="E10" t="s">
        <v>29</v>
      </c>
      <c r="F10" s="1">
        <f>Puskesmas!G10</f>
        <v>121623.91665000003</v>
      </c>
      <c r="G10" s="1"/>
    </row>
    <row r="11" spans="1:7" x14ac:dyDescent="0.25">
      <c r="A11" s="1" t="s">
        <v>39</v>
      </c>
      <c r="B11" t="s">
        <v>28</v>
      </c>
      <c r="C11" s="1">
        <v>-0.61309999999999998</v>
      </c>
      <c r="D11" s="1">
        <v>17.740200000000002</v>
      </c>
      <c r="E11" t="s">
        <v>29</v>
      </c>
      <c r="F11" s="1">
        <f>Puskesmas!G11</f>
        <v>29051.932274999999</v>
      </c>
      <c r="G11" s="1"/>
    </row>
    <row r="12" spans="1:7" x14ac:dyDescent="0.25">
      <c r="A12" s="1" t="s">
        <v>40</v>
      </c>
      <c r="B12" t="s">
        <v>28</v>
      </c>
      <c r="C12" s="1">
        <v>-0.44059999999999999</v>
      </c>
      <c r="D12" s="1">
        <v>17.7424</v>
      </c>
      <c r="E12" t="s">
        <v>29</v>
      </c>
      <c r="F12" s="1">
        <f>Puskesmas!G12</f>
        <v>66117.112875000006</v>
      </c>
      <c r="G12" s="1"/>
    </row>
    <row r="13" spans="1:7" x14ac:dyDescent="0.25">
      <c r="A13" s="1" t="s">
        <v>41</v>
      </c>
      <c r="B13" t="s">
        <v>28</v>
      </c>
      <c r="C13" s="1">
        <v>0.86180000000000001</v>
      </c>
      <c r="D13" s="1">
        <v>18.6755</v>
      </c>
      <c r="E13" t="s">
        <v>29</v>
      </c>
      <c r="F13" s="1">
        <f>Puskesmas!G13</f>
        <v>73921.670624999999</v>
      </c>
      <c r="G13" s="1"/>
    </row>
    <row r="14" spans="1:7" x14ac:dyDescent="0.25">
      <c r="A14" s="1" t="s">
        <v>42</v>
      </c>
      <c r="B14" t="s">
        <v>28</v>
      </c>
      <c r="C14" s="1">
        <v>-0.52459999999999996</v>
      </c>
      <c r="D14" s="1">
        <v>19.425599999999999</v>
      </c>
      <c r="E14" t="s">
        <v>29</v>
      </c>
      <c r="F14" s="1">
        <f>Puskesmas!G14</f>
        <v>86299.621799999994</v>
      </c>
      <c r="G14" s="1"/>
    </row>
    <row r="15" spans="1:7" x14ac:dyDescent="0.25">
      <c r="A15" s="1" t="s">
        <v>43</v>
      </c>
      <c r="B15" t="s">
        <v>28</v>
      </c>
      <c r="C15" s="1">
        <v>-1.0618000000000001</v>
      </c>
      <c r="D15" s="1">
        <v>17.177399999999999</v>
      </c>
      <c r="E15" t="s">
        <v>29</v>
      </c>
      <c r="F15" s="1">
        <f>Puskesmas!G15</f>
        <v>114568.512275</v>
      </c>
      <c r="G15" s="1"/>
    </row>
    <row r="16" spans="1:7" x14ac:dyDescent="0.25">
      <c r="A16" s="1" t="s">
        <v>44</v>
      </c>
      <c r="B16" t="s">
        <v>28</v>
      </c>
      <c r="C16" s="1">
        <v>1.6144000000000001</v>
      </c>
      <c r="D16" s="1">
        <v>19.0943</v>
      </c>
      <c r="E16" t="s">
        <v>29</v>
      </c>
      <c r="F16" s="1">
        <f>Puskesmas!G16</f>
        <v>98088.06147500001</v>
      </c>
      <c r="G16" s="1"/>
    </row>
    <row r="17" spans="1:7" x14ac:dyDescent="0.25">
      <c r="A17" s="1" t="s">
        <v>45</v>
      </c>
      <c r="B17" t="s">
        <v>28</v>
      </c>
      <c r="C17" s="1">
        <v>-0.20682</v>
      </c>
      <c r="D17" s="1">
        <v>20.052119999999999</v>
      </c>
      <c r="E17" t="s">
        <v>29</v>
      </c>
      <c r="F17" s="1">
        <f>Puskesmas!G17</f>
        <v>65146.784099999997</v>
      </c>
      <c r="G17" s="1"/>
    </row>
    <row r="18" spans="1:7" x14ac:dyDescent="0.25">
      <c r="A18" s="1" t="s">
        <v>46</v>
      </c>
      <c r="B18" t="s">
        <v>28</v>
      </c>
      <c r="C18" s="1">
        <v>-0.82450000000000001</v>
      </c>
      <c r="D18" s="1">
        <v>18.1294</v>
      </c>
      <c r="E18" t="s">
        <v>29</v>
      </c>
      <c r="F18" s="1">
        <f>Puskesmas!G18</f>
        <v>52558.355675000006</v>
      </c>
      <c r="G18" s="1"/>
    </row>
    <row r="19" spans="1:7" x14ac:dyDescent="0.25">
      <c r="A19" s="1" t="s">
        <v>47</v>
      </c>
      <c r="B19" t="s">
        <v>28</v>
      </c>
      <c r="C19" s="1">
        <v>5.4399999999999997E-2</v>
      </c>
      <c r="D19" s="1">
        <v>18.332799999999999</v>
      </c>
      <c r="E19" t="s">
        <v>29</v>
      </c>
      <c r="F19" s="1">
        <f>Puskesmas!G19</f>
        <v>119644.90854999999</v>
      </c>
      <c r="G1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AA237-CD4F-4868-9842-2B0C8D95453B}">
  <dimension ref="A1:G19"/>
  <sheetViews>
    <sheetView tabSelected="1" workbookViewId="0">
      <selection activeCell="E30" sqref="E30"/>
    </sheetView>
  </sheetViews>
  <sheetFormatPr defaultRowHeight="15" x14ac:dyDescent="0.25"/>
  <cols>
    <col min="1" max="1" width="26.85546875" bestFit="1" customWidth="1"/>
    <col min="2" max="2" width="16.85546875" bestFit="1" customWidth="1"/>
    <col min="5" max="5" width="20.28515625" bestFit="1" customWidth="1"/>
    <col min="6" max="6" width="15.28515625" bestFit="1" customWidth="1"/>
  </cols>
  <sheetData>
    <row r="1" spans="1:7" x14ac:dyDescent="0.25">
      <c r="A1" t="s">
        <v>0</v>
      </c>
      <c r="B1" t="s">
        <v>4</v>
      </c>
      <c r="C1" t="s">
        <v>1</v>
      </c>
      <c r="D1" t="s">
        <v>2</v>
      </c>
      <c r="E1" t="s">
        <v>7</v>
      </c>
      <c r="F1" t="s">
        <v>8</v>
      </c>
      <c r="G1" t="s">
        <v>9</v>
      </c>
    </row>
    <row r="2" spans="1:7" x14ac:dyDescent="0.25">
      <c r="A2" s="1" t="s">
        <v>10</v>
      </c>
      <c r="B2" t="s">
        <v>27</v>
      </c>
      <c r="C2" s="1">
        <v>4.5199999999999997E-2</v>
      </c>
      <c r="D2" s="1">
        <v>18.264500000000002</v>
      </c>
      <c r="E2" t="str">
        <f t="shared" ref="E2:E5" si="0">_xlfn.CONCAT("HZ",A2)</f>
        <v>HZMbandaka</v>
      </c>
      <c r="F2" s="1">
        <v>116041.84390000002</v>
      </c>
      <c r="G2" s="1">
        <v>116041.84390000002</v>
      </c>
    </row>
    <row r="3" spans="1:7" x14ac:dyDescent="0.25">
      <c r="A3" s="1" t="s">
        <v>11</v>
      </c>
      <c r="B3" t="s">
        <v>27</v>
      </c>
      <c r="C3" s="1">
        <v>1.2185999999999999</v>
      </c>
      <c r="D3" s="1">
        <v>19.7912</v>
      </c>
      <c r="E3" t="str">
        <f t="shared" si="0"/>
        <v>HZBasankusu</v>
      </c>
      <c r="F3" s="1">
        <v>206265.59529999999</v>
      </c>
      <c r="G3" s="1">
        <v>206265.59529999999</v>
      </c>
    </row>
    <row r="4" spans="1:7" x14ac:dyDescent="0.25">
      <c r="A4" s="1" t="s">
        <v>12</v>
      </c>
      <c r="B4" t="s">
        <v>27</v>
      </c>
      <c r="C4" s="1">
        <v>-0.72570000000000001</v>
      </c>
      <c r="D4" s="1">
        <v>18.124600000000001</v>
      </c>
      <c r="E4" t="str">
        <f t="shared" si="0"/>
        <v>HZBikoro</v>
      </c>
      <c r="F4" s="1">
        <v>123000.93025</v>
      </c>
      <c r="G4" s="1">
        <v>123000.93025</v>
      </c>
    </row>
    <row r="5" spans="1:7" x14ac:dyDescent="0.25">
      <c r="A5" s="1" t="s">
        <v>49</v>
      </c>
      <c r="B5" t="s">
        <v>27</v>
      </c>
      <c r="C5" s="1">
        <v>1.8699999999999999E-3</v>
      </c>
      <c r="D5" s="1">
        <v>18.210999999999999</v>
      </c>
      <c r="E5" t="str">
        <f t="shared" si="0"/>
        <v>HZBolenge</v>
      </c>
      <c r="F5" s="1">
        <v>68536.694224999999</v>
      </c>
      <c r="G5" s="1">
        <v>133298.198925</v>
      </c>
    </row>
    <row r="6" spans="1:7" x14ac:dyDescent="0.25">
      <c r="A6" s="1" t="s">
        <v>13</v>
      </c>
      <c r="B6" t="s">
        <v>27</v>
      </c>
      <c r="C6" s="1">
        <v>0.35349999999999998</v>
      </c>
      <c r="D6" s="1">
        <v>19.222999999999999</v>
      </c>
      <c r="E6" t="str">
        <f>_xlfn.CONCAT("HZ",A6)</f>
        <v>HZBolomba</v>
      </c>
      <c r="F6" s="1">
        <v>221127.34227500003</v>
      </c>
      <c r="G6" s="1">
        <v>221127.34227500003</v>
      </c>
    </row>
    <row r="7" spans="1:7" x14ac:dyDescent="0.25">
      <c r="A7" s="1" t="s">
        <v>14</v>
      </c>
      <c r="B7" t="s">
        <v>27</v>
      </c>
      <c r="C7" s="1">
        <v>1.38</v>
      </c>
      <c r="D7" s="1">
        <v>18.3506</v>
      </c>
      <c r="E7" t="str">
        <f t="shared" ref="E7:E19" si="1">_xlfn.CONCAT("HZ",A7)</f>
        <v>HZBomongo</v>
      </c>
      <c r="F7" s="1">
        <v>88107.397450000004</v>
      </c>
      <c r="G7" s="1">
        <v>88107.397450000004</v>
      </c>
    </row>
    <row r="8" spans="1:7" x14ac:dyDescent="0.25">
      <c r="A8" s="1" t="s">
        <v>15</v>
      </c>
      <c r="B8" t="s">
        <v>27</v>
      </c>
      <c r="C8" s="1">
        <v>1.3486</v>
      </c>
      <c r="D8" s="1">
        <v>20.382899999999999</v>
      </c>
      <c r="E8" t="str">
        <f t="shared" si="1"/>
        <v>HZDjombo</v>
      </c>
      <c r="F8" s="1">
        <v>92383.804974999992</v>
      </c>
      <c r="G8" s="1">
        <v>92383.804974999992</v>
      </c>
    </row>
    <row r="9" spans="1:7" x14ac:dyDescent="0.25">
      <c r="A9" s="1" t="s">
        <v>16</v>
      </c>
      <c r="B9" t="s">
        <v>27</v>
      </c>
      <c r="C9" s="1">
        <v>-1.1132</v>
      </c>
      <c r="D9" s="1">
        <v>18.5334</v>
      </c>
      <c r="E9" t="str">
        <f t="shared" si="1"/>
        <v>HZIboko</v>
      </c>
      <c r="F9" s="1">
        <v>82515.513500000001</v>
      </c>
      <c r="G9" s="1">
        <v>82515.513500000001</v>
      </c>
    </row>
    <row r="10" spans="1:7" x14ac:dyDescent="0.25">
      <c r="A10" s="1" t="s">
        <v>17</v>
      </c>
      <c r="B10" t="s">
        <v>27</v>
      </c>
      <c r="C10" s="1">
        <v>-0.30859999999999999</v>
      </c>
      <c r="D10" s="1">
        <v>18.965199999999999</v>
      </c>
      <c r="E10" t="str">
        <f t="shared" si="1"/>
        <v>HZIngende</v>
      </c>
      <c r="F10" s="1">
        <v>121623.91665000003</v>
      </c>
      <c r="G10" s="1">
        <v>121623.91665000003</v>
      </c>
    </row>
    <row r="11" spans="1:7" x14ac:dyDescent="0.25">
      <c r="A11" s="1" t="s">
        <v>18</v>
      </c>
      <c r="B11" t="s">
        <v>27</v>
      </c>
      <c r="C11" s="1">
        <v>-0.61309999999999998</v>
      </c>
      <c r="D11" s="1">
        <v>17.740200000000002</v>
      </c>
      <c r="E11" t="str">
        <f t="shared" si="1"/>
        <v>HZIrebu</v>
      </c>
      <c r="F11" s="1">
        <v>29051.932274999999</v>
      </c>
      <c r="G11" s="1">
        <v>29051.932274999999</v>
      </c>
    </row>
    <row r="12" spans="1:7" x14ac:dyDescent="0.25">
      <c r="A12" s="1" t="s">
        <v>19</v>
      </c>
      <c r="B12" t="s">
        <v>27</v>
      </c>
      <c r="C12" s="1">
        <v>-0.44059999999999999</v>
      </c>
      <c r="D12" s="1">
        <v>17.7424</v>
      </c>
      <c r="E12" t="str">
        <f t="shared" si="1"/>
        <v>HZLilanga Bobangi</v>
      </c>
      <c r="F12" s="1">
        <v>66117.112875000006</v>
      </c>
      <c r="G12" s="1">
        <v>66117.112875000006</v>
      </c>
    </row>
    <row r="13" spans="1:7" x14ac:dyDescent="0.25">
      <c r="A13" s="1" t="s">
        <v>20</v>
      </c>
      <c r="B13" t="s">
        <v>27</v>
      </c>
      <c r="C13" s="1">
        <v>0.86180000000000001</v>
      </c>
      <c r="D13" s="1">
        <v>18.6755</v>
      </c>
      <c r="E13" t="str">
        <f t="shared" si="1"/>
        <v>HZLolanga Mampoko</v>
      </c>
      <c r="F13" s="1">
        <v>73921.670624999999</v>
      </c>
      <c r="G13" s="1">
        <v>73921.670624999999</v>
      </c>
    </row>
    <row r="14" spans="1:7" x14ac:dyDescent="0.25">
      <c r="A14" s="1" t="s">
        <v>21</v>
      </c>
      <c r="B14" t="s">
        <v>27</v>
      </c>
      <c r="C14" s="1">
        <v>-0.52459999999999996</v>
      </c>
      <c r="D14" s="1">
        <v>19.425599999999999</v>
      </c>
      <c r="E14" t="str">
        <f t="shared" si="1"/>
        <v>HZLotumbe</v>
      </c>
      <c r="F14" s="1">
        <v>86299.621799999994</v>
      </c>
      <c r="G14" s="1">
        <v>86299.621799999994</v>
      </c>
    </row>
    <row r="15" spans="1:7" x14ac:dyDescent="0.25">
      <c r="A15" s="1" t="s">
        <v>22</v>
      </c>
      <c r="B15" t="s">
        <v>27</v>
      </c>
      <c r="C15" s="1">
        <v>-1.0618000000000001</v>
      </c>
      <c r="D15" s="1">
        <v>17.177399999999999</v>
      </c>
      <c r="E15" t="str">
        <f t="shared" si="1"/>
        <v>HZLukolela</v>
      </c>
      <c r="F15" s="1">
        <v>114568.512275</v>
      </c>
      <c r="G15" s="1">
        <v>114568.512275</v>
      </c>
    </row>
    <row r="16" spans="1:7" x14ac:dyDescent="0.25">
      <c r="A16" s="1" t="s">
        <v>23</v>
      </c>
      <c r="B16" t="s">
        <v>27</v>
      </c>
      <c r="C16" s="1">
        <v>1.6144000000000001</v>
      </c>
      <c r="D16" s="1">
        <v>19.0943</v>
      </c>
      <c r="E16" t="str">
        <f t="shared" si="1"/>
        <v>HZMakanza</v>
      </c>
      <c r="F16" s="1">
        <v>98088.06147500001</v>
      </c>
      <c r="G16" s="1">
        <v>98088.06147500001</v>
      </c>
    </row>
    <row r="17" spans="1:7" x14ac:dyDescent="0.25">
      <c r="A17" s="1" t="s">
        <v>24</v>
      </c>
      <c r="B17" t="s">
        <v>27</v>
      </c>
      <c r="C17" s="1">
        <v>-0.20682</v>
      </c>
      <c r="D17" s="1">
        <v>20.052119999999999</v>
      </c>
      <c r="E17" t="str">
        <f t="shared" si="1"/>
        <v>HZMonieka</v>
      </c>
      <c r="F17" s="1">
        <v>65146.784099999997</v>
      </c>
      <c r="G17" s="1">
        <v>65146.784099999997</v>
      </c>
    </row>
    <row r="18" spans="1:7" x14ac:dyDescent="0.25">
      <c r="A18" s="1" t="s">
        <v>25</v>
      </c>
      <c r="B18" t="s">
        <v>27</v>
      </c>
      <c r="C18" s="1">
        <v>-0.82450000000000001</v>
      </c>
      <c r="D18" s="1">
        <v>18.1294</v>
      </c>
      <c r="E18" t="str">
        <f t="shared" si="1"/>
        <v>HZNtondo</v>
      </c>
      <c r="F18" s="1">
        <v>52558.355675000006</v>
      </c>
      <c r="G18" s="1">
        <v>52558.355675000006</v>
      </c>
    </row>
    <row r="19" spans="1:7" x14ac:dyDescent="0.25">
      <c r="A19" s="1" t="s">
        <v>26</v>
      </c>
      <c r="B19" t="s">
        <v>27</v>
      </c>
      <c r="C19" s="1">
        <v>5.4399999999999997E-2</v>
      </c>
      <c r="D19" s="1">
        <v>18.332799999999999</v>
      </c>
      <c r="E19" t="str">
        <f t="shared" si="1"/>
        <v>HZWangata</v>
      </c>
      <c r="F19" s="1">
        <v>119644.90854999999</v>
      </c>
      <c r="G19" s="1">
        <v>119644.90854999999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NationalOffice</vt:lpstr>
      <vt:lpstr>ProvincialPublicHealth</vt:lpstr>
      <vt:lpstr>DistrictHealthOffice</vt:lpstr>
      <vt:lpstr>Puskesmas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Farshid Babaei</cp:lastModifiedBy>
  <dcterms:created xsi:type="dcterms:W3CDTF">2025-06-06T15:04:22Z</dcterms:created>
  <dcterms:modified xsi:type="dcterms:W3CDTF">2026-03-23T11:05:09Z</dcterms:modified>
</cp:coreProperties>
</file>