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1fb\Models\Vax SC\Data\"/>
    </mc:Choice>
  </mc:AlternateContent>
  <xr:revisionPtr revIDLastSave="0" documentId="13_ncr:1_{6E506F7E-7719-434C-9FDD-28D96D5C475A}" xr6:coauthVersionLast="47" xr6:coauthVersionMax="47" xr10:uidLastSave="{00000000-0000-0000-0000-000000000000}"/>
  <bookViews>
    <workbookView xWindow="1170" yWindow="1170" windowWidth="28800" windowHeight="15435" xr2:uid="{FA23C16F-3C1C-4E68-AD36-4215747A6BE9}"/>
  </bookViews>
  <sheets>
    <sheet name="Manufacturer" sheetId="1" r:id="rId1"/>
    <sheet name="Hospital" sheetId="4" r:id="rId2"/>
    <sheet name="Clin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2" i="3"/>
  <c r="F3" i="4" l="1"/>
  <c r="E3" i="1" s="1"/>
  <c r="F2" i="4"/>
  <c r="E2" i="1" s="1"/>
  <c r="E4" i="1"/>
</calcChain>
</file>

<file path=xl/sharedStrings.xml><?xml version="1.0" encoding="utf-8"?>
<sst xmlns="http://schemas.openxmlformats.org/spreadsheetml/2006/main" count="48" uniqueCount="23">
  <si>
    <t>Name</t>
  </si>
  <si>
    <t>Latitude</t>
  </si>
  <si>
    <t>Longitude</t>
  </si>
  <si>
    <t>Province</t>
  </si>
  <si>
    <t>Type</t>
  </si>
  <si>
    <t>Upstream Connection</t>
  </si>
  <si>
    <t>Annual Demand</t>
  </si>
  <si>
    <t>Initial Demand</t>
  </si>
  <si>
    <t>CMAC</t>
  </si>
  <si>
    <t>Small manufacturer</t>
  </si>
  <si>
    <t>NMIS</t>
  </si>
  <si>
    <t>MMIC</t>
  </si>
  <si>
    <t>Big manufacturer</t>
  </si>
  <si>
    <t>Hospital</t>
  </si>
  <si>
    <t>Hairmyres</t>
  </si>
  <si>
    <t>HighStreet</t>
  </si>
  <si>
    <t>BootsDukeSt</t>
  </si>
  <si>
    <t>Sighthill</t>
  </si>
  <si>
    <t>StJames</t>
  </si>
  <si>
    <t>Rowlands</t>
  </si>
  <si>
    <t>Eaglesham</t>
  </si>
  <si>
    <t>GRI</t>
  </si>
  <si>
    <t>Glasgow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</si>
</sst>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1F0C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right" wrapText="1"/>
    </xf>
    <xf numFmtId="0" fontId="19" fillId="33" borderId="10" xfId="0" applyFont="1" applyFill="1" applyBorder="1" applyAlignment="1">
      <alignment horizontal="right" wrapText="1"/>
    </xf>
    <xf numFmtId="0" fontId="19" fillId="34" borderId="10" xfId="0" applyFont="1" applyFill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0" xfId="0" applyBorder="1" applyAlignment="1">
      <alignment horizontal="right" wrapText="1"/>
    </xf>
    <xf numFmtId="0" fontId="19" fillId="0" borderId="10" xfId="0" applyFont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6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70DF-A7F5-4EBA-9A4E-6625684456F1}">
  <dimension ref="A1:E4"/>
  <sheetViews>
    <sheetView tabSelected="1" workbookViewId="0">
      <selection activeCell="E2" sqref="E2"/>
    </sheetView>
  </sheetViews>
  <sheetFormatPr defaultRowHeight="15" x14ac:dyDescent="0.25"/>
  <cols>
    <col min="1" max="1" width="10" bestFit="1" customWidth="1"/>
    <col min="2" max="2" width="20.28515625" customWidth="1"/>
  </cols>
  <sheetData>
    <row r="1" spans="1:5" ht="15.75" thickBot="1" x14ac:dyDescent="0.3">
      <c r="A1" t="s">
        <v>0</v>
      </c>
      <c r="B1" t="s">
        <v>4</v>
      </c>
      <c r="C1" t="s">
        <v>1</v>
      </c>
      <c r="D1" t="s">
        <v>2</v>
      </c>
      <c r="E1" t="s">
        <v>7</v>
      </c>
    </row>
    <row r="2" spans="1:5" ht="15.75" thickBot="1" x14ac:dyDescent="0.3">
      <c r="A2" s="3" t="s">
        <v>8</v>
      </c>
      <c r="B2" s="4" t="s">
        <v>9</v>
      </c>
      <c r="C2" s="5">
        <v>55.86032325</v>
      </c>
      <c r="D2" s="6">
        <v>-4.2423783779999997</v>
      </c>
      <c r="E2">
        <f ca="1">Hospital!F2</f>
        <v>99</v>
      </c>
    </row>
    <row r="3" spans="1:5" ht="15.75" thickBot="1" x14ac:dyDescent="0.3">
      <c r="A3" s="3" t="s">
        <v>10</v>
      </c>
      <c r="B3" s="4" t="s">
        <v>9</v>
      </c>
      <c r="C3" s="5">
        <v>55.873845920000001</v>
      </c>
      <c r="D3" s="6">
        <v>-4.4164686890000002</v>
      </c>
      <c r="E3">
        <f ca="1">Hospital!F3</f>
        <v>98</v>
      </c>
    </row>
    <row r="4" spans="1:5" ht="15.75" thickBot="1" x14ac:dyDescent="0.3">
      <c r="A4" s="3" t="s">
        <v>11</v>
      </c>
      <c r="B4" s="4" t="s">
        <v>12</v>
      </c>
      <c r="C4" s="6">
        <v>55.872705549999999</v>
      </c>
      <c r="D4" s="6">
        <v>-4.4164398040000004</v>
      </c>
      <c r="E4">
        <f ca="1">SUM(Hospital!F2:F3)</f>
        <v>197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374B-C969-4E87-BEE9-45241CCB8CDB}">
  <dimension ref="A1:F3"/>
  <sheetViews>
    <sheetView workbookViewId="0">
      <selection activeCell="B2" sqref="B2"/>
    </sheetView>
  </sheetViews>
  <sheetFormatPr defaultRowHeight="15" x14ac:dyDescent="0.25"/>
  <cols>
    <col min="1" max="1" width="27.28515625" customWidth="1"/>
    <col min="2" max="2" width="10.5703125" customWidth="1"/>
    <col min="5" max="5" width="20.42578125" bestFit="1" customWidth="1"/>
  </cols>
  <sheetData>
    <row r="1" spans="1:6" ht="15.75" thickBot="1" x14ac:dyDescent="0.3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7</v>
      </c>
    </row>
    <row r="2" spans="1:6" ht="15.75" thickBot="1" x14ac:dyDescent="0.3">
      <c r="A2" s="7" t="s">
        <v>21</v>
      </c>
      <c r="B2" s="4" t="s">
        <v>13</v>
      </c>
      <c r="C2" s="5">
        <v>55.864609199999997</v>
      </c>
      <c r="D2" s="6">
        <v>-4.2338696819999999</v>
      </c>
      <c r="E2" s="3" t="s">
        <v>11</v>
      </c>
      <c r="F2">
        <f ca="1">SUM(Clinic!G2:G4)</f>
        <v>99</v>
      </c>
    </row>
    <row r="3" spans="1:6" ht="15.75" thickBot="1" x14ac:dyDescent="0.3">
      <c r="A3" s="8" t="s">
        <v>14</v>
      </c>
      <c r="B3" s="4" t="s">
        <v>13</v>
      </c>
      <c r="C3" s="6">
        <v>55.7588875</v>
      </c>
      <c r="D3" s="6">
        <v>-4.2224603969999999</v>
      </c>
      <c r="E3" s="3" t="s">
        <v>11</v>
      </c>
      <c r="F3">
        <f ca="1">SUM(Clinic!G5:G7)</f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A237-CD4F-4868-9842-2B0C8D95453B}">
  <dimension ref="A1:G7"/>
  <sheetViews>
    <sheetView workbookViewId="0">
      <selection activeCell="F9" sqref="F9"/>
    </sheetView>
  </sheetViews>
  <sheetFormatPr defaultRowHeight="15" x14ac:dyDescent="0.25"/>
  <cols>
    <col min="1" max="1" width="26.85546875" bestFit="1" customWidth="1"/>
    <col min="2" max="2" width="16.85546875" bestFit="1" customWidth="1"/>
    <col min="5" max="5" width="25.140625" customWidth="1"/>
    <col min="6" max="6" width="15.28515625" bestFit="1" customWidth="1"/>
    <col min="7" max="7" width="11.5703125" bestFit="1" customWidth="1"/>
  </cols>
  <sheetData>
    <row r="1" spans="1:7" ht="15.75" thickBot="1" x14ac:dyDescent="0.3">
      <c r="A1" t="s">
        <v>0</v>
      </c>
      <c r="B1" t="s">
        <v>3</v>
      </c>
      <c r="C1" t="s">
        <v>1</v>
      </c>
      <c r="D1" t="s">
        <v>2</v>
      </c>
      <c r="E1" t="s">
        <v>5</v>
      </c>
      <c r="F1" t="s">
        <v>6</v>
      </c>
      <c r="G1" t="s">
        <v>7</v>
      </c>
    </row>
    <row r="2" spans="1:7" ht="15.75" thickBot="1" x14ac:dyDescent="0.3">
      <c r="A2" s="7" t="s">
        <v>15</v>
      </c>
      <c r="B2" s="4" t="s">
        <v>22</v>
      </c>
      <c r="C2" s="6">
        <v>55.8591196</v>
      </c>
      <c r="D2" s="6">
        <v>-4.2409391999999997</v>
      </c>
      <c r="E2" s="7" t="s">
        <v>21</v>
      </c>
      <c r="F2" s="2">
        <v>70</v>
      </c>
      <c r="G2" s="1">
        <f ca="1">ROUND(IF(RAND()&lt;(35-25)/(45-25),
25+SQRT(RAND()*(45-25)*(35-25)),45-SQRT((1-RAND())*(45-25)*(45-35))),0)</f>
        <v>27</v>
      </c>
    </row>
    <row r="3" spans="1:7" ht="15.75" thickBot="1" x14ac:dyDescent="0.3">
      <c r="A3" s="7" t="s">
        <v>16</v>
      </c>
      <c r="B3" s="4" t="s">
        <v>22</v>
      </c>
      <c r="C3" s="6">
        <v>55.8582556</v>
      </c>
      <c r="D3" s="6">
        <v>-4.2203353999999997</v>
      </c>
      <c r="E3" s="7" t="s">
        <v>21</v>
      </c>
      <c r="F3" s="2">
        <v>70</v>
      </c>
      <c r="G3" s="1">
        <f t="shared" ref="G3:G7" ca="1" si="0">ROUND(IF(RAND()&lt;(35-25)/(45-25),
25+SQRT(RAND()*(45-25)*(35-25)),45-SQRT((1-RAND())*(45-25)*(45-35))),0)</f>
        <v>37</v>
      </c>
    </row>
    <row r="4" spans="1:7" ht="15.75" thickBot="1" x14ac:dyDescent="0.3">
      <c r="A4" s="7" t="s">
        <v>17</v>
      </c>
      <c r="B4" s="4" t="s">
        <v>22</v>
      </c>
      <c r="C4" s="6">
        <v>55.8736234</v>
      </c>
      <c r="D4" s="6">
        <v>-4.2380012000000002</v>
      </c>
      <c r="E4" s="7" t="s">
        <v>21</v>
      </c>
      <c r="F4" s="2">
        <v>70</v>
      </c>
      <c r="G4" s="1">
        <f t="shared" ca="1" si="0"/>
        <v>35</v>
      </c>
    </row>
    <row r="5" spans="1:7" ht="15.75" thickBot="1" x14ac:dyDescent="0.3">
      <c r="A5" s="8" t="s">
        <v>18</v>
      </c>
      <c r="B5" s="4" t="s">
        <v>22</v>
      </c>
      <c r="C5" s="6">
        <v>55.76024486</v>
      </c>
      <c r="D5" s="6">
        <v>-4.2262306189999999</v>
      </c>
      <c r="E5" s="8" t="s">
        <v>14</v>
      </c>
      <c r="F5" s="2">
        <v>70</v>
      </c>
      <c r="G5" s="1">
        <f t="shared" ca="1" si="0"/>
        <v>32</v>
      </c>
    </row>
    <row r="6" spans="1:7" ht="15.75" thickBot="1" x14ac:dyDescent="0.3">
      <c r="A6" s="8" t="s">
        <v>19</v>
      </c>
      <c r="B6" s="4" t="s">
        <v>22</v>
      </c>
      <c r="C6" s="6">
        <v>55.758350960000001</v>
      </c>
      <c r="D6" s="6">
        <v>-4.1951383360000003</v>
      </c>
      <c r="E6" s="8" t="s">
        <v>14</v>
      </c>
      <c r="F6" s="2">
        <v>70</v>
      </c>
      <c r="G6" s="1">
        <f t="shared" ca="1" si="0"/>
        <v>32</v>
      </c>
    </row>
    <row r="7" spans="1:7" ht="15.75" thickBot="1" x14ac:dyDescent="0.3">
      <c r="A7" s="8" t="s">
        <v>20</v>
      </c>
      <c r="B7" s="4" t="s">
        <v>22</v>
      </c>
      <c r="C7" s="6">
        <v>55.743937199999998</v>
      </c>
      <c r="D7" s="6">
        <v>-4.2763935000000002</v>
      </c>
      <c r="E7" s="8" t="s">
        <v>14</v>
      </c>
      <c r="F7" s="2">
        <v>70</v>
      </c>
      <c r="G7" s="1">
        <f t="shared" ca="1" si="0"/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Manufacturer</vt:lpstr>
      <vt:lpstr>Hospital</vt:lpstr>
      <vt:lpstr>Clinic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Farshid Babaei</cp:lastModifiedBy>
  <dcterms:created xsi:type="dcterms:W3CDTF">2025-06-06T15:04:22Z</dcterms:created>
  <dcterms:modified xsi:type="dcterms:W3CDTF">2025-12-11T15:03:40Z</dcterms:modified>
</cp:coreProperties>
</file>